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d6118ab80c46f2" /></Relationships>
</file>

<file path=xl/workbook.xml><?xml version="1.0" encoding="utf-8"?>
<x:workbook xmlns:x="http://schemas.openxmlformats.org/spreadsheetml/2006/main">
  <x:sheets>
    <x:sheet xmlns:r="http://schemas.openxmlformats.org/officeDocument/2006/relationships" name="Cover" sheetId="1" r:id="R19483242f03b430e"/>
    <x:sheet xmlns:r="http://schemas.openxmlformats.org/officeDocument/2006/relationships" name="Tiki" sheetId="2" r:id="R9198162dc4954f9c"/>
    <x:sheet xmlns:r="http://schemas.openxmlformats.org/officeDocument/2006/relationships" name="Test_Data" sheetId="3" r:id="R2e3cf47b2e6f425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
      <x:name val="Carlito"/>
    </x:font>
    <x:font>
      <x:b/>
      <x:sz val="11"/>
      <x:color rgb="1E3A8A"/>
      <x:name val="Carlito"/>
    </x:font>
    <x:font>
      <x:b/>
      <x:sz val="11"/>
      <x:color rgb="FFFFFF"/>
      <x:name val="Carlito"/>
    </x:font>
    <x:font>
      <x:b/>
      <x:sz val="16"/>
      <x:color rgb="FFFFFF"/>
      <x:name val="Carlito"/>
    </x:font>
    <x:font>
      <x:b/>
      <x:sz val="12"/>
      <x:color rgb="1E3A8A"/>
      <x:name val="Carlito"/>
    </x:font>
    <x:font>
      <x:b/>
      <x:sz val="11"/>
      <x:name val="Carlito"/>
    </x:font>
  </x:fonts>
  <x:fills count="6">
    <x:fill>
      <x:patternFill patternType="none"/>
    </x:fill>
    <x:fill>
      <x:patternFill patternType="gray125"/>
    </x:fill>
    <x:fill>
      <x:patternFill patternType="solid">
        <x:fgColor rgb="1D4ED8"/>
      </x:patternFill>
    </x:fill>
    <x:fill>
      <x:patternFill patternType="solid">
        <x:fgColor rgb="DBEAFE"/>
      </x:patternFill>
    </x:fill>
    <x:fill>
      <x:patternFill patternType="solid">
        <x:fgColor rgb="0F766E"/>
      </x:patternFill>
    </x:fill>
    <x:fill>
      <x:patternFill patternType="solid">
        <x:fgColor rgb="F8FAFC"/>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2" fillId="3" borderId="0" xfId="0" applyNumberFormat="1" applyFont="1" applyFill="1" applyBorder="1" applyAlignment="1">
      <x:alignment horizontal="left" vertical="center"/>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2" fillId="3" borderId="1" xfId="0" applyNumberFormat="1" applyFont="1" applyFill="1" applyBorder="1" applyAlignment="1">
      <x:alignment horizontal="left" vertical="center"/>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5" fillId="3" borderId="0" xfId="0" applyNumberFormat="1" applyFont="1" applyFill="1" applyBorder="1"/>
    <x:xf numFmtId="0" fontId="5" fillId="3" borderId="0" xfId="0" applyNumberFormat="1" applyFont="1" applyFill="1" applyBorder="1" applyAlignment="1">
      <x:alignment horizontal="left"/>
    </x:xf>
    <x:xf numFmtId="0" fontId="5" fillId="3" borderId="0" xfId="0" applyNumberFormat="1" applyFont="1" applyFill="1" applyBorder="1" applyAlignment="1">
      <x:alignment horizontal="left" vertical="center"/>
    </x:xf>
    <x:xf numFmtId="0" fontId="5" fillId="3" borderId="1" xfId="0" applyNumberFormat="1" applyFont="1" applyFill="1" applyBorder="1"/>
    <x:xf numFmtId="0" fontId="5" fillId="3" borderId="1" xfId="0" applyNumberFormat="1" applyFont="1" applyFill="1" applyBorder="1" applyAlignment="1">
      <x:alignment horizontal="left"/>
    </x:xf>
    <x:xf numFmtId="0" fontId="5" fillId="3" borderId="1" xfId="0" applyNumberFormat="1" applyFont="1" applyFill="1" applyBorder="1" applyAlignment="1">
      <x:alignment horizontal="left" vertic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5" fillId="3" borderId="0" xfId="0" applyNumberFormat="1" applyFont="1" applyFill="1" applyBorder="1" applyAlignment="1">
      <x:alignment horizontal="left" vertical="center" wrapText="1"/>
    </x:xf>
    <x:xf numFmtId="0" fontId="5" fillId="3" borderId="1" xfId="0" applyNumberFormat="1" applyFont="1" applyFill="1" applyBorder="1" applyAlignment="1">
      <x:alignment horizontal="left" vertical="center" wrapText="1"/>
    </x:xf>
    <x:xf numFmtId="0" fontId="0" fillId="5" borderId="0"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0" xfId="0" applyNumberFormat="1" applyFont="1" applyFill="1" applyBorder="1" applyAlignment="1">
      <x:alignment horizontal="center" wrapText="1"/>
    </x:xf>
    <x:xf numFmtId="0" fontId="6" fillId="5" borderId="0" xfId="0" applyNumberFormat="1" applyFont="1" applyFill="1" applyBorder="1" applyAlignment="1">
      <x:alignment horizontal="center" vertical="center" wrapText="1"/>
    </x:xf>
    <x:xf numFmtId="0" fontId="0" fillId="5" borderId="1" xfId="0" applyNumberFormat="1" applyFont="1" applyFill="1" applyBorder="1" applyAlignment="1">
      <x:alignment wrapText="1"/>
    </x:xf>
    <x:xf numFmtId="0" fontId="6" fillId="5" borderId="1" xfId="0" applyNumberFormat="1" applyFont="1" applyFill="1" applyBorder="1" applyAlignment="1">
      <x:alignment wrapText="1"/>
    </x:xf>
    <x:xf numFmtId="0" fontId="6" fillId="5" borderId="1" xfId="0" applyNumberFormat="1" applyFont="1" applyFill="1" applyBorder="1" applyAlignment="1">
      <x:alignment horizontal="center" wrapText="1"/>
    </x:xf>
    <x:xf numFmtId="0" fontId="6" fillId="5" borderId="1"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5" fillId="3"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cellXfs>
  <x:cellStyles count="1">
    <x:cellStyle name="Normal" xfId="0"/>
  </x:cellStyles>
  <x:dxfs count="3">
    <x:dxf>
      <x:font>
        <x:b/>
        <x:color rgb="166534"/>
      </x:font>
      <x:fill>
        <x:patternFill>
          <x:bgColor rgb="DCFCE7"/>
        </x:patternFill>
      </x:fill>
    </x:dxf>
    <x:dxf>
      <x:font>
        <x:b/>
        <x:color rgb="991B1B"/>
      </x:font>
      <x:fill>
        <x:patternFill>
          <x:bgColor rgb="FEE2E2"/>
        </x:patternFill>
      </x:fill>
    </x:dxf>
    <x:dxf>
      <x:font>
        <x:b/>
        <x:color rgb="92400E"/>
      </x:font>
      <x:fill>
        <x:patternFill>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05776d96cc470c" /><Relationship Type="http://schemas.openxmlformats.org/officeDocument/2006/relationships/theme" Target="/xl/theme/theme1.xml" Id="R84de9ea04a654766" /><Relationship Type="http://schemas.openxmlformats.org/officeDocument/2006/relationships/sharedStrings" Target="/xl/sharedStrings.xml" Id="Rb8b0f4db3b1e4632" /><Relationship Type="http://schemas.openxmlformats.org/officeDocument/2006/relationships/worksheet" Target="/xl/worksheets/sheet1.xml" Id="R19483242f03b430e" /><Relationship Type="http://schemas.openxmlformats.org/officeDocument/2006/relationships/worksheet" Target="/xl/worksheets/sheet2.xml" Id="R9198162dc4954f9c" /><Relationship Type="http://schemas.openxmlformats.org/officeDocument/2006/relationships/worksheet" Target="/xl/worksheets/sheet3.xml" Id="R2e3cf47b2e6f4255" /></Relationships>
</file>

<file path=xl/tables/table1.xml><?xml version="1.0" encoding="utf-8"?>
<x:table xmlns:x="http://schemas.openxmlformats.org/spreadsheetml/2006/main" id="1" name="CoverSummaryTable" displayName="CoverSummaryTable" ref="A12:G15" headerRowCount="1">
  <x:tableColumns count="7">
    <x:tableColumn id="1" name="Module"/>
    <x:tableColumn id="2" name="Number of Test Cases"/>
    <x:tableColumn id="3" name="Pass"/>
    <x:tableColumn id="4" name="Fail"/>
    <x:tableColumn id="5" name="Untested"/>
    <x:tableColumn id="6" name="N/A"/>
    <x:tableColumn id="7" name="Note"/>
  </x:tableColumns>
  <x:tableStyleInfo name="TableStyleMedium2" showRowStripes="1"/>
</x:table>
</file>

<file path=xl/tables/table2.xml><?xml version="1.0" encoding="utf-8"?>
<x:table xmlns:x="http://schemas.openxmlformats.org/spreadsheetml/2006/main" id="2" name="TestDataTable" displayName="TestDataTable" ref="A3:D21" headerRowCount="1">
  <x:tableColumns count="4">
    <x:tableColumn id="1" name="Key"/>
    <x:tableColumn id="2" name="Value/Placeholder"/>
    <x:tableColumn id="3" name="Description"/>
    <x:tableColumn id="4" name="Required for Cypres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0bd5886ca164d03" /></Relationships>
</file>

<file path=xl/worksheets/_rels/sheet3.xml.rels>&#65279;<?xml version="1.0" encoding="utf-8"?><Relationships xmlns="http://schemas.openxmlformats.org/package/2006/relationships"><Relationship Type="http://schemas.openxmlformats.org/officeDocument/2006/relationships/table" Target="/xl/tables/table2.xml" Id="R1703064ad6ec409a" /></Relationships>
</file>

<file path=xl/worksheets/sheet1.xml><?xml version="1.0" encoding="utf-8"?>
<x:worksheet xmlns:x="http://schemas.openxmlformats.org/spreadsheetml/2006/main">
  <x:sheetFormatPr defaultRowHeight="15"/>
  <x:cols>
    <x:col min="1" max="1" width="18" hidden="0" customWidth="1"/>
    <x:col min="2" max="2" width="34" hidden="0" customWidth="1"/>
    <x:col min="3" max="3" width="14" hidden="0" customWidth="1"/>
    <x:col min="4" max="4" width="18" hidden="0" customWidth="1"/>
    <x:col min="5" max="5" width="38" hidden="0" customWidth="1"/>
    <x:col min="6" max="6" width="16" hidden="0" customWidth="1"/>
    <x:col min="7" max="7" width="18" hidden="0" customWidth="1"/>
  </x:cols>
  <x:sheetData>
    <x:row r="1" ht="34" customHeight="1">
      <x:c r="A1" s="5" t="str">
        <x:v>TEST CASE - WEBSITE TIKI</x:v>
      </x:c>
      <x:c r="B1" s="5"/>
      <x:c r="C1" s="5"/>
      <x:c r="D1" s="5"/>
      <x:c r="E1" s="5"/>
      <x:c r="F1" s="5"/>
      <x:c r="G1" s="5"/>
    </x:row>
    <x:row r="2">
      <x:c r="A2" s="26"/>
      <x:c r="B2" s="26"/>
      <x:c r="C2" s="26"/>
      <x:c r="D2" s="26"/>
      <x:c r="E2" s="26"/>
      <x:c r="F2" s="26"/>
      <x:c r="G2" s="26"/>
    </x:row>
    <x:row r="3">
      <x:c r="A3" s="27" t="str">
        <x:v>Project Name</x:v>
      </x:c>
      <x:c r="B3" s="27" t="str">
        <x:v>Tiki Website</x:v>
      </x:c>
      <x:c r="C3" s="27"/>
      <x:c r="D3" s="27" t="str">
        <x:v>Test Type</x:v>
      </x:c>
      <x:c r="E3" s="27" t="str">
        <x:v>Kiểm thử Tự động (Automation Testing)</x:v>
      </x:c>
      <x:c r="F3" s="27" t="str">
        <x:v>Tool</x:v>
      </x:c>
      <x:c r="G3" s="27" t="str">
        <x:v>Cypress</x:v>
      </x:c>
    </x:row>
    <x:row r="4">
      <x:c r="A4" s="27" t="str">
        <x:v>Scope</x:v>
      </x:c>
      <x:c r="B4" s="27" t="str">
        <x:v>Tìm kiếm; Thêm sản phẩm vào giỏ hàng; Đăng nhập</x:v>
      </x:c>
      <x:c r="C4" s="27"/>
      <x:c r="D4" s="27" t="str">
        <x:v>Browser</x:v>
      </x:c>
      <x:c r="E4" s="27" t="str">
        <x:v>Chrome</x:v>
      </x:c>
      <x:c r="F4" s="27" t="str">
        <x:v>Status</x:v>
      </x:c>
      <x:c r="G4" s="27" t="str">
        <x:v>Draft</x:v>
      </x:c>
    </x:row>
    <x:row r="5">
      <x:c r="A5" s="27" t="str">
        <x:v>Created Date</x:v>
      </x:c>
      <x:c r="B5" s="27" t="str">
        <x:v>2026-05-25</x:v>
      </x:c>
      <x:c r="C5" s="27"/>
      <x:c r="D5" s="27" t="str">
        <x:v>Source</x:v>
      </x:c>
      <x:c r="E5" s="27" t="str">
        <x:v>Ảnh màn hình Tiki + PDF kiểm thử + file mẫu ATM</x:v>
      </x:c>
      <x:c r="F5" s="27" t="str">
        <x:v>Total TC</x:v>
      </x:c>
      <x:c r="G5" s="27" t="n">
        <x:v>68</x:v>
      </x:c>
    </x:row>
    <x:row r="6">
      <x:c r="A6" s="26"/>
      <x:c r="B6" s="26"/>
      <x:c r="C6" s="26"/>
      <x:c r="D6" s="26"/>
      <x:c r="E6" s="26"/>
      <x:c r="F6" s="26"/>
      <x:c r="G6" s="26"/>
    </x:row>
    <x:row r="7">
      <x:c r="A7" s="28" t="str">
        <x:v>Record of change</x:v>
      </x:c>
      <x:c r="B7" s="28"/>
      <x:c r="C7" s="28"/>
      <x:c r="D7" s="28"/>
      <x:c r="E7" s="28"/>
      <x:c r="F7" s="28"/>
      <x:c r="G7" s="28"/>
    </x:row>
    <x:row r="8">
      <x:c r="A8" s="21" t="str">
        <x:v>Effective Date</x:v>
      </x:c>
      <x:c r="B8" s="21" t="str">
        <x:v>Version</x:v>
      </x:c>
      <x:c r="C8" s="21" t="str">
        <x:v>Change Description</x:v>
      </x:c>
      <x:c r="D8" s="21" t="str">
        <x:v>A/D/M</x:v>
      </x:c>
      <x:c r="E8" s="21" t="str">
        <x:v>Change item</x:v>
      </x:c>
      <x:c r="F8" s="21" t="str">
        <x:v>Reference</x:v>
      </x:c>
      <x:c r="G8" s="21" t="str">
        <x:v>Owner</x:v>
      </x:c>
    </x:row>
    <x:row r="9">
      <x:c r="A9" s="27" t="str">
        <x:v>2026-05-25</x:v>
      </x:c>
      <x:c r="B9" s="27" t="str">
        <x:v>v1.0</x:v>
      </x:c>
      <x:c r="C9" s="27" t="str">
        <x:v>Tạo bộ test case automation-ready cho Tiki</x:v>
      </x:c>
      <x:c r="D9" s="27" t="str">
        <x:v>A</x:v>
      </x:c>
      <x:c r="E9" s="27" t="str">
        <x:v>Initial document</x:v>
      </x:c>
      <x:c r="F9" s="27" t="str">
        <x:v>User provided screenshots</x:v>
      </x:c>
      <x:c r="G9" s="27" t="str"/>
    </x:row>
    <x:row r="10">
      <x:c r="A10" s="26"/>
      <x:c r="B10" s="26"/>
      <x:c r="C10" s="26"/>
      <x:c r="D10" s="26"/>
      <x:c r="E10" s="26"/>
      <x:c r="F10" s="26"/>
      <x:c r="G10" s="26"/>
    </x:row>
    <x:row r="11">
      <x:c r="A11" s="28" t="str">
        <x:v>Summary</x:v>
      </x:c>
      <x:c r="B11" s="28"/>
      <x:c r="C11" s="28"/>
      <x:c r="D11" s="28"/>
      <x:c r="E11" s="28"/>
      <x:c r="F11" s="28"/>
      <x:c r="G11" s="28"/>
    </x:row>
    <x:row r="12">
      <x:c r="A12" s="21" t="str">
        <x:v>Module</x:v>
      </x:c>
      <x:c r="B12" s="21" t="str">
        <x:v>Number of Test Cases</x:v>
      </x:c>
      <x:c r="C12" s="21" t="str">
        <x:v>Pass</x:v>
      </x:c>
      <x:c r="D12" s="21" t="str">
        <x:v>Fail</x:v>
      </x:c>
      <x:c r="E12" s="21" t="str">
        <x:v>Untested</x:v>
      </x:c>
      <x:c r="F12" s="21" t="str">
        <x:v>N/A</x:v>
      </x:c>
      <x:c r="G12" s="21" t="str">
        <x:v>Note</x:v>
      </x:c>
    </x:row>
    <x:row r="13">
      <x:c r="A13" s="27" t="str">
        <x:v>Tìm kiếm sản phẩm</x:v>
      </x:c>
      <x:c r="B13" s="27" t="n">
        <x:v>18</x:v>
      </x:c>
      <x:c r="C13" s="27" t="n">
        <x:v>0</x:v>
      </x:c>
      <x:c r="D13" s="27" t="n">
        <x:v>0</x:v>
      </x:c>
      <x:c r="E13" s="27" t="n">
        <x:v>18</x:v>
      </x:c>
      <x:c r="F13" s="27" t="n">
        <x:v>0</x:v>
      </x:c>
      <x:c r="G13" s="27" t="str">
        <x:v>Search box, keyword handling, navigation</x:v>
      </x:c>
    </x:row>
    <x:row r="14">
      <x:c r="A14" s="27" t="str">
        <x:v>Chi tiết sản phẩm &amp; Giỏ hàng</x:v>
      </x:c>
      <x:c r="B14" s="27" t="n">
        <x:v>28</x:v>
      </x:c>
      <x:c r="C14" s="27" t="n">
        <x:v>0</x:v>
      </x:c>
      <x:c r="D14" s="27" t="n">
        <x:v>0</x:v>
      </x:c>
      <x:c r="E14" s="27" t="n">
        <x:v>28</x:v>
      </x:c>
      <x:c r="F14" s="27" t="n">
        <x:v>0</x:v>
      </x:c>
      <x:c r="G14" s="27" t="str">
        <x:v>Random in-stock products; dynamic price</x:v>
      </x:c>
    </x:row>
    <x:row r="15">
      <x:c r="A15" s="27" t="str">
        <x:v>Đăng nhập</x:v>
      </x:c>
      <x:c r="B15" s="27" t="n">
        <x:v>22</x:v>
      </x:c>
      <x:c r="C15" s="27" t="n">
        <x:v>0</x:v>
      </x:c>
      <x:c r="D15" s="27" t="n">
        <x:v>0</x:v>
      </x:c>
      <x:c r="E15" s="27" t="n">
        <x:v>22</x:v>
      </x:c>
      <x:c r="F15" s="27" t="n">
        <x:v>0</x:v>
      </x:c>
      <x:c r="G15" s="27" t="str">
        <x:v>Use test account placeholders</x:v>
      </x:c>
    </x:row>
    <x:row r="16">
      <x:c r="A16" s="26"/>
      <x:c r="B16" s="26"/>
      <x:c r="C16" s="26"/>
      <x:c r="D16" s="26"/>
      <x:c r="E16" s="26"/>
      <x:c r="F16" s="26"/>
      <x:c r="G16" s="26"/>
    </x:row>
    <x:row r="17">
      <x:c r="A17" s="28" t="str">
        <x:v>Assumptions</x:v>
      </x:c>
      <x:c r="B17" s="28"/>
      <x:c r="C17" s="28"/>
      <x:c r="D17" s="28"/>
      <x:c r="E17" s="28"/>
      <x:c r="F17" s="28"/>
      <x:c r="G17" s="28"/>
    </x:row>
    <x:row r="18">
      <x:c r="A18" s="27" t="str">
        <x:v>1</x:v>
      </x:c>
      <x:c r="B18" s="27" t="str">
        <x:v>Không cố định sản phẩm vì yêu cầu chọn ngẫu nhiên sản phẩm.</x:v>
      </x:c>
      <x:c r="C18" s="27"/>
      <x:c r="D18" s="27"/>
      <x:c r="E18" s="27"/>
      <x:c r="F18" s="27"/>
      <x:c r="G18" s="27"/>
    </x:row>
    <x:row r="19">
      <x:c r="A19" s="27" t="str">
        <x:v>2</x:v>
      </x:c>
      <x:c r="B19" s="27" t="str">
        <x:v>Không hard-code giá vì giá Tiki/khuyến mãi/thông tin tồn kho có thể thay đổi.</x:v>
      </x:c>
      <x:c r="C19" s="27"/>
      <x:c r="D19" s="27"/>
      <x:c r="E19" s="27"/>
      <x:c r="F19" s="27"/>
      <x:c r="G19" s="27"/>
    </x:row>
    <x:row r="20">
      <x:c r="A20" s="27" t="str">
        <x:v>3</x:v>
      </x:c>
      <x:c r="B20" s="27" t="str">
        <x:v>Các biến {{TEST_PHONE}}, {{TEST_EMAIL}}, {{TEST_SECRET}} cần điền bằng tài khoản test thật khi chạy automation.</x:v>
      </x:c>
      <x:c r="C20" s="27"/>
      <x:c r="D20" s="27"/>
      <x:c r="E20" s="27"/>
      <x:c r="F20" s="27"/>
      <x:c r="G20" s="27"/>
    </x:row>
    <x:row r="21">
      <x:c r="A21" s="27" t="str">
        <x:v>4</x:v>
      </x:c>
      <x:c r="B21" s="27" t="str">
        <x:v>Các test case đang ở trạng thái Untested vì chưa chạy thực tế trên môi trường kiểm thử.</x:v>
      </x:c>
      <x:c r="C21" s="27"/>
      <x:c r="D21" s="27"/>
      <x:c r="E21" s="27"/>
      <x:c r="F21" s="27"/>
      <x:c r="G21" s="27"/>
    </x:row>
    <x:row r="22">
      <x:c r="A22" s="27" t="str">
        <x:v>5</x:v>
      </x:c>
      <x:c r="B22" s="27" t="str">
        <x:v>Bộ test case này là test case document; chưa bao gồm code Cypress.</x:v>
      </x:c>
      <x:c r="C22" s="27"/>
      <x:c r="D22" s="27"/>
      <x:c r="E22" s="27"/>
      <x:c r="F22" s="27"/>
      <x:c r="G22" s="27"/>
    </x:row>
    <x:row r="23">
      <x:c r="A23" s="27" t="str">
        <x:v>6</x:v>
      </x:c>
      <x:c r="B23" s="27" t="str">
        <x:v>Cypress nên chọn phần tử bằng selector ổn định; nếu không có data-testid thì cần xác định locator riêng khi triển khai script.</x:v>
      </x:c>
      <x:c r="C23" s="27"/>
      <x:c r="D23" s="27"/>
      <x:c r="E23" s="27"/>
      <x:c r="F23" s="27"/>
      <x:c r="G23" s="27"/>
    </x:row>
  </x:sheetData>
  <x:mergeCells>
    <x:mergeCell ref="A1:G1"/>
  </x:mergeCells>
  <x:pageMargins left="0.7" right="0.7" top="0.75" bottom="0.75" header="0.3" footer="0.3"/>
  <x:tableParts count="1">
    <x:tablePart xmlns:r="http://schemas.openxmlformats.org/officeDocument/2006/relationships" r:id="Re0bd5886ca164d03"/>
  </x:tableParts>
</x:worksheet>
</file>

<file path=xl/worksheets/sheet2.xml><?xml version="1.0" encoding="utf-8"?>
<x:worksheet xmlns:x="http://schemas.openxmlformats.org/spreadsheetml/2006/main">
  <x:sheetFormatPr defaultRowHeight="15"/>
  <x:cols>
    <x:col min="1" max="1" width="18" hidden="0" customWidth="1"/>
    <x:col min="2" max="2" width="42" hidden="0" customWidth="1"/>
    <x:col min="3" max="3" width="58" hidden="0" customWidth="1"/>
    <x:col min="4" max="4" width="60" hidden="0" customWidth="1"/>
    <x:col min="5" max="5" width="42" hidden="0" customWidth="1"/>
    <x:col min="6" max="6" width="42" hidden="0" customWidth="1"/>
    <x:col min="7" max="7" width="14" hidden="0" customWidth="1"/>
  </x:cols>
  <x:sheetData>
    <x:row r="1" ht="32" customHeight="1">
      <x:c r="A1" s="34" t="str">
        <x:v>TEST CASE - TIKI WEBSITE - AUTOMATION TESTING</x:v>
      </x:c>
      <x:c r="B1" s="34"/>
      <x:c r="C1" s="34"/>
      <x:c r="D1" s="34"/>
      <x:c r="E1" s="34"/>
      <x:c r="F1" s="34"/>
      <x:c r="G1" s="34"/>
    </x:row>
    <x:row r="3">
      <x:c r="A3" s="10" t="str">
        <x:v>Tester</x:v>
      </x:c>
      <x:c r="B3" s="10" t="str"/>
      <x:c r="C3" s="10" t="str">
        <x:v>Project</x:v>
      </x:c>
      <x:c r="D3" s="10" t="str">
        <x:v>Tiki</x:v>
      </x:c>
      <x:c r="E3" s="10" t="str">
        <x:v>Tool</x:v>
      </x:c>
      <x:c r="F3" s="10" t="str">
        <x:v>Cypress</x:v>
      </x:c>
      <x:c r="G3" s="10" t="str"/>
    </x:row>
    <x:row r="5">
      <x:c r="A5" s="21" t="str">
        <x:v>Runner</x:v>
      </x:c>
      <x:c r="B5" s="21" t="str">
        <x:v>Pass</x:v>
      </x:c>
      <x:c r="C5" s="21" t="str">
        <x:v>Fail</x:v>
      </x:c>
      <x:c r="D5" s="21" t="str">
        <x:v>Untested</x:v>
      </x:c>
      <x:c r="E5" s="21" t="str">
        <x:v>N/A</x:v>
      </x:c>
      <x:c r="F5" s="21" t="str">
        <x:v>Number of Test cases</x:v>
      </x:c>
      <x:c r="G5" s="21" t="str"/>
    </x:row>
    <x:row r="6">
      <x:c r="A6" s="51" t="str">
        <x:v>Cypress</x:v>
      </x:c>
      <x:c r="B6" s="51" t="n">
        <x:f>COUNTIF(G:G,"Pass")</x:f>
        <x:v>0</x:v>
      </x:c>
      <x:c r="C6" s="51" t="n">
        <x:f>COUNTIF(G:G,"Fail")</x:f>
        <x:v>0</x:v>
      </x:c>
      <x:c r="D6" s="51" t="n">
        <x:f>COUNTIF(G:G,"Untested")</x:f>
        <x:v>68</x:v>
      </x:c>
      <x:c r="E6" s="51" t="n">
        <x:f>COUNTIF(G:G,"N/A")</x:f>
        <x:v>0</x:v>
      </x:c>
      <x:c r="F6" s="51" t="n">
        <x:f>SUM(B6:E6)</x:f>
        <x:v>68</x:v>
      </x:c>
      <x:c r="G6" s="51"/>
    </x:row>
    <x:row r="8" ht="26" customHeight="1">
      <x:c r="A8" s="21" t="str">
        <x:v>ID</x:v>
      </x:c>
      <x:c r="B8" s="21" t="str">
        <x:v>Mô tả</x:v>
      </x:c>
      <x:c r="C8" s="21" t="str">
        <x:v>Các bước thực hiện</x:v>
      </x:c>
      <x:c r="D8" s="21" t="str">
        <x:v>Kết quả mong muốn</x:v>
      </x:c>
      <x:c r="E8" s="21" t="str">
        <x:v>Pre - Condition</x:v>
      </x:c>
      <x:c r="F8" s="21" t="str">
        <x:v>Test Data</x:v>
      </x:c>
      <x:c r="G8" s="21" t="str">
        <x:v>Cypress</x:v>
      </x:c>
    </x:row>
    <x:row r="9" ht="24" customHeight="1">
      <x:c r="A9" s="46" t="str">
        <x:v>Chức năng tìm kiếm sản phẩm</x:v>
      </x:c>
      <x:c r="B9" s="46"/>
      <x:c r="C9" s="46"/>
      <x:c r="D9" s="46"/>
      <x:c r="E9" s="46"/>
      <x:c r="F9" s="46"/>
      <x:c r="G9" s="56"/>
    </x:row>
    <x:row r="10" ht="92" customHeight="1">
      <x:c r="A10" s="44" t="str">
        <x:v>TKI_SEARCH_001</x:v>
      </x:c>
      <x:c r="B10" s="44" t="str">
        <x:v>Kiểm tra hiển thị thành phần tìm kiếm trên trang chủ.</x:v>
      </x:c>
      <x:c r="C10" s="44" t="str">
        <x:v>1. Truy cập trang chủ Tiki.
2. Quan sát header của website.
3. Kiểm tra ô tìm kiếm và nút Tìm kiếm.</x:v>
      </x:c>
      <x:c r="D10" s="44" t="str">
        <x:v>1. Trang chủ hiển thị đúng.
2. Ô tìm kiếm hiển thị placeholder/gợi ý tìm kiếm.
3. Nút Tìm kiếm hiển thị và có thể thao tác.</x:v>
      </x:c>
      <x:c r="E10" s="44" t="str">
        <x:v>Người dùng chưa cần đăng nhập. Website truy cập được.</x:v>
      </x:c>
      <x:c r="F10" s="44" t="str">
        <x:v>BASE_URL=https://tiki.vn</x:v>
      </x:c>
      <x:c r="G10" s="57" t="str">
        <x:v>Untested</x:v>
      </x:c>
    </x:row>
    <x:row r="11" ht="92" customHeight="1">
      <x:c r="A11" s="44" t="str">
        <x:v>TKI_SEARCH_002</x:v>
      </x:c>
      <x:c r="B11" s="44" t="str">
        <x:v>Kiểm tra tìm kiếm với từ khóa hợp lệ.</x:v>
      </x:c>
      <x:c r="C11" s="44" t="str">
        <x:v>1. Nhập từ khóa hợp lệ vào ô tìm kiếm.
2. Click nút Tìm kiếm.
3. Chờ trang kết quả tải xong.</x:v>
      </x:c>
      <x:c r="D11" s="44" t="str">
        <x:v>1. Hệ thống điều hướng tới trang kết quả tìm kiếm.
2. Danh sách sản phẩm được hiển thị.
3. Không hiển thị lỗi hệ thống.</x:v>
      </x:c>
      <x:c r="E11" s="44" t="str">
        <x:v>Vị trí: Website Tiki - trang chủ hoặc thanh tìm kiếm trên header. Trình duyệt: Chrome. Framework dự kiến: Cypress.</x:v>
      </x:c>
      <x:c r="F11" s="44" t="str">
        <x:v>Keyword: sách</x:v>
      </x:c>
      <x:c r="G11" s="57" t="str">
        <x:v>Untested</x:v>
      </x:c>
    </x:row>
    <x:row r="12" ht="92" customHeight="1">
      <x:c r="A12" s="44" t="str">
        <x:v>TKI_SEARCH_003</x:v>
      </x:c>
      <x:c r="B12" s="44" t="str">
        <x:v>Kiểm tra tìm kiếm với từ khóa tiếng Việt có dấu.</x:v>
      </x:c>
      <x:c r="C12" s="44" t="str">
        <x:v>1. Nhập từ khóa tiếng Việt có dấu.
2. Click Tìm kiếm.
3. Kiểm tra kết quả trả về.</x:v>
      </x:c>
      <x:c r="D12" s="44" t="str">
        <x:v>1. Kết quả tìm kiếm được hiển thị.
2. Website xử lý đúng tiếng Việt có dấu.
3. Không bị lỗi font hoặc lỗi điều hướng.</x:v>
      </x:c>
      <x:c r="E12" s="44" t="str">
        <x:v>Vị trí: Website Tiki - trang chủ hoặc thanh tìm kiếm trên header. Trình duyệt: Chrome. Framework dự kiến: Cypress.</x:v>
      </x:c>
      <x:c r="F12" s="44" t="str">
        <x:v>Keyword: sách thiếu nhi</x:v>
      </x:c>
      <x:c r="G12" s="57" t="str">
        <x:v>Untested</x:v>
      </x:c>
    </x:row>
    <x:row r="13" ht="92" customHeight="1">
      <x:c r="A13" s="44" t="str">
        <x:v>TKI_SEARCH_004</x:v>
      </x:c>
      <x:c r="B13" s="44" t="str">
        <x:v>Kiểm tra tìm kiếm với từ khóa tiếng Việt không dấu.</x:v>
      </x:c>
      <x:c r="C13" s="44" t="str">
        <x:v>1. Nhập từ khóa tiếng Việt không dấu.
2. Click Tìm kiếm.
3. Kiểm tra danh sách kết quả.</x:v>
      </x:c>
      <x:c r="D13" s="44" t="str">
        <x:v>1. Hệ thống hiển thị kết quả phù hợp hoặc gần đúng.
2. Không phát sinh lỗi giao diện hoặc lỗi hệ thống.</x:v>
      </x:c>
      <x:c r="E13" s="44" t="str">
        <x:v>Vị trí: Website Tiki - trang chủ hoặc thanh tìm kiếm trên header. Trình duyệt: Chrome. Framework dự kiến: Cypress.</x:v>
      </x:c>
      <x:c r="F13" s="44" t="str">
        <x:v>Keyword: sach thieu nhi</x:v>
      </x:c>
      <x:c r="G13" s="57" t="str">
        <x:v>Untested</x:v>
      </x:c>
    </x:row>
    <x:row r="14" ht="92" customHeight="1">
      <x:c r="A14" s="44" t="str">
        <x:v>TKI_SEARCH_005</x:v>
      </x:c>
      <x:c r="B14" s="44" t="str">
        <x:v>Kiểm tra tìm kiếm với từ khóa có khoảng trắng đầu/cuối.</x:v>
      </x:c>
      <x:c r="C14" s="44" t="str">
        <x:v>1. Nhập từ khóa có khoảng trắng đầu và cuối.
2. Click Tìm kiếm.
3. Kiểm tra từ khóa/URL/kết quả sau khi tìm kiếm.</x:v>
      </x:c>
      <x:c r="D14" s="44" t="str">
        <x:v>1. Hệ thống xử lý trim khoảng trắng.
2. Kết quả tìm kiếm tương đương từ khóa hợp lệ.
3. Không hiển thị lỗi không cần thiết.</x:v>
      </x:c>
      <x:c r="E14" s="44" t="str">
        <x:v>Vị trí: Website Tiki - trang chủ hoặc thanh tìm kiếm trên header. Trình duyệt: Chrome. Framework dự kiến: Cypress.</x:v>
      </x:c>
      <x:c r="F14" s="44" t="str">
        <x:v>Keyword: '  sách  '</x:v>
      </x:c>
      <x:c r="G14" s="57" t="str">
        <x:v>Untested</x:v>
      </x:c>
    </x:row>
    <x:row r="15" ht="92" customHeight="1">
      <x:c r="A15" s="44" t="str">
        <x:v>TKI_SEARCH_006</x:v>
      </x:c>
      <x:c r="B15" s="44" t="str">
        <x:v>Kiểm tra tìm kiếm với từ khóa viết hoa/viết thường lẫn lộn.</x:v>
      </x:c>
      <x:c r="C15" s="44" t="str">
        <x:v>1. Nhập từ khóa có chữ hoa và chữ thường lẫn lộn.
2. Click Tìm kiếm.
3. Kiểm tra kết quả.</x:v>
      </x:c>
      <x:c r="D15" s="44" t="str">
        <x:v>1. Hệ thống xử lý tìm kiếm không phân biệt hoa/thường theo cách phù hợp.
2. Kết quả vẫn được hiển thị.
3. Không phát sinh lỗi.</x:v>
      </x:c>
      <x:c r="E15" s="44" t="str">
        <x:v>Vị trí: Website Tiki - trang chủ hoặc thanh tìm kiếm trên header. Trình duyệt: Chrome. Framework dự kiến: Cypress.</x:v>
      </x:c>
      <x:c r="F15" s="44" t="str">
        <x:v>Keyword: SÁch ThiẾu Nhi</x:v>
      </x:c>
      <x:c r="G15" s="57" t="str">
        <x:v>Untested</x:v>
      </x:c>
    </x:row>
    <x:row r="16" ht="92" customHeight="1">
      <x:c r="A16" s="44" t="str">
        <x:v>TKI_SEARCH_007</x:v>
      </x:c>
      <x:c r="B16" s="44" t="str">
        <x:v>Kiểm tra tìm kiếm với từ khóa là số.</x:v>
      </x:c>
      <x:c r="C16" s="44" t="str">
        <x:v>1. Nhập từ khóa dạng số vào ô tìm kiếm.
2. Click Tìm kiếm.
3. Kiểm tra kết quả tìm kiếm.</x:v>
      </x:c>
      <x:c r="D16" s="44" t="str">
        <x:v>1. Hệ thống nhận từ khóa dạng số.
2. Hiển thị kết quả phù hợp hoặc thông báo không tìm thấy.
3. Không phát sinh lỗi hệ thống.</x:v>
      </x:c>
      <x:c r="E16" s="44" t="str">
        <x:v>Vị trí: Website Tiki - trang chủ hoặc thanh tìm kiếm trên header. Trình duyệt: Chrome. Framework dự kiến: Cypress.</x:v>
      </x:c>
      <x:c r="F16" s="44" t="str">
        <x:v>Keyword: 2025</x:v>
      </x:c>
      <x:c r="G16" s="57" t="str">
        <x:v>Untested</x:v>
      </x:c>
    </x:row>
    <x:row r="17" ht="92" customHeight="1">
      <x:c r="A17" s="44" t="str">
        <x:v>TKI_SEARCH_008</x:v>
      </x:c>
      <x:c r="B17" s="44" t="str">
        <x:v>Kiểm tra tìm kiếm với từ khóa chứa ký tự đặc biệt.</x:v>
      </x:c>
      <x:c r="C17" s="44" t="str">
        <x:v>1. Nhập chuỗi ký tự đặc biệt vào ô tìm kiếm.
2. Click Tìm kiếm.
3. Kiểm tra phản hồi của hệ thống.</x:v>
      </x:c>
      <x:c r="D17" s="44" t="str">
        <x:v>1. Hệ thống không crash.
2. Nếu không có sản phẩm phù hợp, hiển thị trạng thái không có kết quả hoặc kết quả phù hợp.
3. Không thực thi ký tự đặc biệt như mã lệnh.</x:v>
      </x:c>
      <x:c r="E17" s="44" t="str">
        <x:v>Vị trí: Website Tiki - trang chủ hoặc thanh tìm kiếm trên header. Trình duyệt: Chrome. Framework dự kiến: Cypress.</x:v>
      </x:c>
      <x:c r="F17" s="44" t="str">
        <x:v>Keyword: @#$%^&amp;*</x:v>
      </x:c>
      <x:c r="G17" s="57" t="str">
        <x:v>Untested</x:v>
      </x:c>
    </x:row>
    <x:row r="18" ht="92" customHeight="1">
      <x:c r="A18" s="44" t="str">
        <x:v>TKI_SEARCH_009</x:v>
      </x:c>
      <x:c r="B18" s="44" t="str">
        <x:v>Kiểm tra tìm kiếm với từ khóa không tồn tại.</x:v>
      </x:c>
      <x:c r="C18" s="44" t="str">
        <x:v>1. Nhập chuỗi rất khó có kết quả.
2. Click Tìm kiếm.
3. Kiểm tra màn hình kết quả.</x:v>
      </x:c>
      <x:c r="D18" s="44" t="str">
        <x:v>1. Hệ thống hiển thị thông báo/trạng thái không tìm thấy kết quả hoặc danh sách gợi ý.
2. Không hiển thị trang trắng.
3. Không phát sinh lỗi hệ thống.</x:v>
      </x:c>
      <x:c r="E18" s="44" t="str">
        <x:v>Vị trí: Website Tiki - trang chủ hoặc thanh tìm kiếm trên header. Trình duyệt: Chrome. Framework dự kiến: Cypress.</x:v>
      </x:c>
      <x:c r="F18" s="44" t="str">
        <x:v>Keyword: zzzzzzzzzzz_tiki_test_no_result</x:v>
      </x:c>
      <x:c r="G18" s="57" t="str">
        <x:v>Untested</x:v>
      </x:c>
    </x:row>
    <x:row r="19" ht="92" customHeight="1">
      <x:c r="A19" s="44" t="str">
        <x:v>TKI_SEARCH_010</x:v>
      </x:c>
      <x:c r="B19" s="44" t="str">
        <x:v>Kiểm tra click nút Tìm kiếm khi ô tìm kiếm để trống.</x:v>
      </x:c>
      <x:c r="C19" s="44" t="str">
        <x:v>1. Để trống ô tìm kiếm.
2. Click nút Tìm kiếm.
3. Quan sát phản hồi của website.</x:v>
      </x:c>
      <x:c r="D19" s="44" t="str">
        <x:v>1. Hệ thống không crash.
2. Hệ thống giữ nguyên trang, hiển thị gợi ý, hoặc điều hướng theo hành vi thiết kế.
3. Không xuất hiện lỗi không kiểm soát.</x:v>
      </x:c>
      <x:c r="E19" s="44" t="str">
        <x:v>Vị trí: Website Tiki - trang chủ hoặc thanh tìm kiếm trên header. Trình duyệt: Chrome. Framework dự kiến: Cypress.</x:v>
      </x:c>
      <x:c r="F19" s="44" t="str">
        <x:v>Keyword: &lt;empty&gt;</x:v>
      </x:c>
      <x:c r="G19" s="57" t="str">
        <x:v>Untested</x:v>
      </x:c>
    </x:row>
    <x:row r="20" ht="92" customHeight="1">
      <x:c r="A20" s="44" t="str">
        <x:v>TKI_SEARCH_011</x:v>
      </x:c>
      <x:c r="B20" s="44" t="str">
        <x:v>Kiểm tra nhấn phím Enter để tìm kiếm.</x:v>
      </x:c>
      <x:c r="C20" s="44" t="str">
        <x:v>1. Nhập từ khóa hợp lệ vào ô tìm kiếm.
2. Nhấn phím Enter.
3. Kiểm tra trang kết quả.</x:v>
      </x:c>
      <x:c r="D20" s="44" t="str">
        <x:v>1. Hệ thống thực hiện tìm kiếm tương tự khi click nút Tìm kiếm.
2. Kết quả tìm kiếm được hiển thị.</x:v>
      </x:c>
      <x:c r="E20" s="44" t="str">
        <x:v>Vị trí: Website Tiki - trang chủ hoặc thanh tìm kiếm trên header. Trình duyệt: Chrome. Framework dự kiến: Cypress.</x:v>
      </x:c>
      <x:c r="F20" s="44" t="str">
        <x:v>Keyword: tai nghe</x:v>
      </x:c>
      <x:c r="G20" s="57" t="str">
        <x:v>Untested</x:v>
      </x:c>
    </x:row>
    <x:row r="21" ht="92" customHeight="1">
      <x:c r="A21" s="44" t="str">
        <x:v>TKI_SEARCH_012</x:v>
      </x:c>
      <x:c r="B21" s="44" t="str">
        <x:v>Kiểm tra tìm kiếm từ thanh tìm kiếm trên trang chi tiết sản phẩm.</x:v>
      </x:c>
      <x:c r="C21" s="44" t="str">
        <x:v>1. Mở một trang chi tiết sản phẩm bất kỳ.
2. Nhập từ khóa khác vào thanh tìm kiếm trên header.
3. Click Tìm kiếm.</x:v>
      </x:c>
      <x:c r="D21" s="44" t="str">
        <x:v>1. Hệ thống thực hiện tìm kiếm mới.
2. Người dùng được điều hướng tới trang kết quả của từ khóa mới.
3. Không còn bị giữ ở trang chi tiết sản phẩm cũ.</x:v>
      </x:c>
      <x:c r="E21" s="44" t="str">
        <x:v>Đang ở trang chi tiết một sản phẩm bất kỳ.</x:v>
      </x:c>
      <x:c r="F21" s="44" t="str">
        <x:v>Keyword: bàn phím</x:v>
      </x:c>
      <x:c r="G21" s="57" t="str">
        <x:v>Untested</x:v>
      </x:c>
    </x:row>
    <x:row r="22" ht="92" customHeight="1">
      <x:c r="A22" s="44" t="str">
        <x:v>TKI_SEARCH_013</x:v>
      </x:c>
      <x:c r="B22" s="44" t="str">
        <x:v>Kiểm tra chọn một sản phẩm từ kết quả tìm kiếm.</x:v>
      </x:c>
      <x:c r="C22" s="44" t="str">
        <x:v>1. Tìm kiếm bằng từ khóa hợp lệ.
2. Chọn ngẫu nhiên một sản phẩm đang hiển thị trong danh sách kết quả.
3. Click vào sản phẩm.</x:v>
      </x:c>
      <x:c r="D22" s="44" t="str">
        <x:v>1. Hệ thống điều hướng tới trang chi tiết sản phẩm.
2. Tên sản phẩm trên trang chi tiết khớp với sản phẩm đã chọn.
3. Trang chi tiết hiển thị giá và khu vực mua hàng.</x:v>
      </x:c>
      <x:c r="E22" s="44" t="str">
        <x:v>Trang kết quả tìm kiếm có ít nhất 1 sản phẩm.</x:v>
      </x:c>
      <x:c r="F22" s="44" t="str">
        <x:v>Keyword: sách; Product: random visible product</x:v>
      </x:c>
      <x:c r="G22" s="57" t="str">
        <x:v>Untested</x:v>
      </x:c>
    </x:row>
    <x:row r="23" ht="92" customHeight="1">
      <x:c r="A23" s="44" t="str">
        <x:v>TKI_SEARCH_014</x:v>
      </x:c>
      <x:c r="B23" s="44" t="str">
        <x:v>Kiểm tra breadcrumb sau khi mở sản phẩm từ danh mục/tìm kiếm.</x:v>
      </x:c>
      <x:c r="C23" s="44" t="str">
        <x:v>1. Mở sản phẩm bất kỳ từ kết quả tìm kiếm hoặc danh mục.
2. Quan sát breadcrumb phía trên trang chi tiết.</x:v>
      </x:c>
      <x:c r="D23" s="44" t="str">
        <x:v>1. Breadcrumb được hiển thị.
2. Breadcrumb phản ánh luồng danh mục/trang chủ/sản phẩm theo thiết kế.
3. Các thành phần không bị vỡ giao diện.</x:v>
      </x:c>
      <x:c r="E23" s="44" t="str">
        <x:v>Đang ở trang chi tiết sản phẩm.</x:v>
      </x:c>
      <x:c r="F23" s="44" t="str">
        <x:v>Product: random product</x:v>
      </x:c>
      <x:c r="G23" s="57" t="str">
        <x:v>Untested</x:v>
      </x:c>
    </x:row>
    <x:row r="24" ht="92" customHeight="1">
      <x:c r="A24" s="44" t="str">
        <x:v>TKI_SEARCH_015</x:v>
      </x:c>
      <x:c r="B24" s="44" t="str">
        <x:v>Kiểm tra click danh mục trên menu header.</x:v>
      </x:c>
      <x:c r="C24" s="44" t="str">
        <x:v>1. Tại trang chủ, click một danh mục trên menu header, ví dụ 'sách' hoặc 'điện gia dụng'.
2. Chờ trang tải.
3. Kiểm tra kết quả hiển thị.</x:v>
      </x:c>
      <x:c r="D24" s="44" t="str">
        <x:v>1. Hệ thống điều hướng hoặc lọc theo danh mục đã chọn.
2. Trang không lỗi.
3. Có nội dung/danh sách sản phẩm tương ứng danh mục.</x:v>
      </x:c>
      <x:c r="E24" s="44" t="str">
        <x:v>Người dùng ở trang chủ.</x:v>
      </x:c>
      <x:c r="F24" s="44" t="str">
        <x:v>Category: sách</x:v>
      </x:c>
      <x:c r="G24" s="57" t="str">
        <x:v>Untested</x:v>
      </x:c>
    </x:row>
    <x:row r="25" ht="92" customHeight="1">
      <x:c r="A25" s="44" t="str">
        <x:v>TKI_SEARCH_016</x:v>
      </x:c>
      <x:c r="B25" s="44" t="str">
        <x:v>Kiểm tra tìm kiếm nhiều lần liên tiếp.</x:v>
      </x:c>
      <x:c r="C25" s="44" t="str">
        <x:v>1. Tìm kiếm từ khóa thứ nhất.
2. Sau khi có kết quả, nhập từ khóa thứ hai.
3. Click Tìm kiếm lần nữa.</x:v>
      </x:c>
      <x:c r="D25" s="44" t="str">
        <x:v>1. Kết quả lần hai được cập nhật theo từ khóa mới.
2. Không giữ nhầm kết quả cũ.
3. Không phát sinh lỗi điều hướng.</x:v>
      </x:c>
      <x:c r="E25" s="44" t="str">
        <x:v>Vị trí: Website Tiki - trang chủ hoặc thanh tìm kiếm trên header. Trình duyệt: Chrome. Framework dự kiến: Cypress.</x:v>
      </x:c>
      <x:c r="F25" s="44" t="str">
        <x:v>Keyword 1: sách; Keyword 2: laptop</x:v>
      </x:c>
      <x:c r="G25" s="57" t="str">
        <x:v>Untested</x:v>
      </x:c>
    </x:row>
    <x:row r="26" ht="92" customHeight="1">
      <x:c r="A26" s="44" t="str">
        <x:v>TKI_SEARCH_017</x:v>
      </x:c>
      <x:c r="B26" s="44" t="str">
        <x:v>Kiểm tra ô tìm kiếm hiển thị lại từ khóa sau khi tìm kiếm.</x:v>
      </x:c>
      <x:c r="C26" s="44" t="str">
        <x:v>1. Nhập từ khóa hợp lệ.
2. Click Tìm kiếm.
3. Quan sát ô tìm kiếm trên trang kết quả.</x:v>
      </x:c>
      <x:c r="D26" s="44" t="str">
        <x:v>1. Ô tìm kiếm hiển thị từ khóa đã nhập hoặc trạng thái theo thiết kế.
2. Người dùng có thể sửa từ khóa và tìm kiếm tiếp.</x:v>
      </x:c>
      <x:c r="E26" s="44" t="str">
        <x:v>Vị trí: Website Tiki - trang chủ hoặc thanh tìm kiếm trên header. Trình duyệt: Chrome. Framework dự kiến: Cypress.</x:v>
      </x:c>
      <x:c r="F26" s="44" t="str">
        <x:v>Keyword: đồ chơi trẻ em</x:v>
      </x:c>
      <x:c r="G26" s="57" t="str">
        <x:v>Untested</x:v>
      </x:c>
    </x:row>
    <x:row r="27" ht="92" customHeight="1">
      <x:c r="A27" s="44" t="str">
        <x:v>TKI_SEARCH_018</x:v>
      </x:c>
      <x:c r="B27" s="44" t="str">
        <x:v>Kiểm tra kết quả tìm kiếm có thông tin sản phẩm cơ bản.</x:v>
      </x:c>
      <x:c r="C27" s="44" t="str">
        <x:v>1. Tìm kiếm với từ khóa có nhiều kết quả.
2. Quan sát một số sản phẩm đầu tiên trong danh sách.
3. Kiểm tra tên, hình ảnh và giá.</x:v>
      </x:c>
      <x:c r="D27" s="44" t="str">
        <x:v>1. Mỗi sản phẩm chính trong danh sách có tên sản phẩm.
2. Hình ảnh sản phẩm hiển thị.
3. Giá sản phẩm hiển thị đúng định dạng tiền tệ hoặc trạng thái theo thiết kế.</x:v>
      </x:c>
      <x:c r="E27" s="44" t="str">
        <x:v>Trang kết quả có sản phẩm.</x:v>
      </x:c>
      <x:c r="F27" s="44" t="str">
        <x:v>Keyword: sách</x:v>
      </x:c>
      <x:c r="G27" s="57" t="str">
        <x:v>Untested</x:v>
      </x:c>
    </x:row>
    <x:row r="28" ht="24" customHeight="1">
      <x:c r="A28" s="46" t="str">
        <x:v>Chức năng xem chi tiết sản phẩm và thêm sản phẩm vào giỏ hàng</x:v>
      </x:c>
      <x:c r="B28" s="46"/>
      <x:c r="C28" s="46"/>
      <x:c r="D28" s="46"/>
      <x:c r="E28" s="46"/>
      <x:c r="F28" s="46"/>
      <x:c r="G28" s="56"/>
    </x:row>
    <x:row r="29" ht="92" customHeight="1">
      <x:c r="A29" s="44" t="str">
        <x:v>TKI_CART_001</x:v>
      </x:c>
      <x:c r="B29" s="44" t="str">
        <x:v>Kiểm tra hiển thị trang chi tiết sản phẩm.</x:v>
      </x:c>
      <x:c r="C29" s="44" t="str">
        <x:v>1. Tìm kiếm hoặc mở một sản phẩm bất kỳ.
2. Chờ trang chi tiết sản phẩm tải xong.
3. Kiểm tra các khu vực chính trên trang.</x:v>
      </x:c>
      <x:c r="D29" s="44" t="str">
        <x:v>1. Trang chi tiết hiển thị tên sản phẩm.
2. Hiển thị hình ảnh sản phẩm, giá, thông tin vận chuyển, nhà bán và khu vực số lượng.
3. Hiển thị nút Mua ngay và Thêm vào giỏ nếu sản phẩm còn hàng.</x:v>
      </x:c>
      <x:c r="E29" s="44" t="str">
        <x:v>Người dùng chưa cần đăng nhập. Chọn ngẫu nhiên sản phẩm đang còn hàng. Không kiểm tra giá cố định vì giá Tiki có thể thay đổi.</x:v>
      </x:c>
      <x:c r="F29" s="44" t="str">
        <x:v>Product: random in-stock product</x:v>
      </x:c>
      <x:c r="G29" s="57" t="str">
        <x:v>Untested</x:v>
      </x:c>
    </x:row>
    <x:row r="30" ht="92" customHeight="1">
      <x:c r="A30" s="44" t="str">
        <x:v>TKI_CART_002</x:v>
      </x:c>
      <x:c r="B30" s="44" t="str">
        <x:v>Kiểm tra hình ảnh chính và danh sách ảnh thumbnail của sản phẩm.</x:v>
      </x:c>
      <x:c r="C30" s="44" t="str">
        <x:v>1. Mở trang chi tiết sản phẩm.
2. Quan sát ảnh chính và danh sách ảnh nhỏ bên dưới.
3. Click một ảnh thumbnail bất kỳ.</x:v>
      </x:c>
      <x:c r="D30" s="44" t="str">
        <x:v>1. Ảnh chính hiển thị rõ ràng.
2. Danh sách thumbnail hiển thị nếu sản phẩm có nhiều ảnh.
3. Khi click thumbnail, ảnh chính được cập nhật theo ảnh đã chọn.</x:v>
      </x:c>
      <x:c r="E30" s="44" t="str">
        <x:v>Người dùng chưa cần đăng nhập. Chọn ngẫu nhiên sản phẩm đang còn hàng. Không kiểm tra giá cố định vì giá Tiki có thể thay đổi.</x:v>
      </x:c>
      <x:c r="F30" s="44" t="str">
        <x:v>Product: random product with thumbnails</x:v>
      </x:c>
      <x:c r="G30" s="57" t="str">
        <x:v>Untested</x:v>
      </x:c>
    </x:row>
    <x:row r="31" ht="92" customHeight="1">
      <x:c r="A31" s="44" t="str">
        <x:v>TKI_CART_003</x:v>
      </x:c>
      <x:c r="B31" s="44" t="str">
        <x:v>Kiểm tra thông tin giá trên trang chi tiết sản phẩm.</x:v>
      </x:c>
      <x:c r="C31" s="44" t="str">
        <x:v>1. Mở trang chi tiết sản phẩm.
2. Kiểm tra khu vực giá bán.
3. Nếu có giá gốc/giảm giá, kiểm tra cách hiển thị.</x:v>
      </x:c>
      <x:c r="D31" s="44" t="str">
        <x:v>1. Giá bán hiển thị theo định dạng tiền Việt Nam.
2. Nếu có giảm giá, giá gốc/giảm giá hiển thị không làm vỡ giao diện.
3. Giá là dữ liệu hợp lệ, không rỗng.</x:v>
      </x:c>
      <x:c r="E31" s="44" t="str">
        <x:v>Người dùng chưa cần đăng nhập. Chọn ngẫu nhiên sản phẩm đang còn hàng. Không kiểm tra giá cố định vì giá Tiki có thể thay đổi.</x:v>
      </x:c>
      <x:c r="F31" s="44" t="str">
        <x:v>Product: random product</x:v>
      </x:c>
      <x:c r="G31" s="57" t="str">
        <x:v>Untested</x:v>
      </x:c>
    </x:row>
    <x:row r="32" ht="92" customHeight="1">
      <x:c r="A32" s="44" t="str">
        <x:v>TKI_CART_004</x:v>
      </x:c>
      <x:c r="B32" s="44" t="str">
        <x:v>Kiểm tra số lượng mặc định trên trang chi tiết sản phẩm.</x:v>
      </x:c>
      <x:c r="C32" s="44" t="str">
        <x:v>1. Mở trang chi tiết sản phẩm còn hàng.
2. Quan sát ô số lượng ở khu vực mua hàng.</x:v>
      </x:c>
      <x:c r="D32" s="44" t="str">
        <x:v>1. Số lượng mặc định là 1 hoặc giá trị mặc định theo thiết kế.
2. Nút giảm và nút tăng hiển thị.
3. Tạm tính được hiển thị tương ứng số lượng mặc định.</x:v>
      </x:c>
      <x:c r="E32" s="44" t="str">
        <x:v>Người dùng chưa cần đăng nhập. Chọn ngẫu nhiên sản phẩm đang còn hàng. Không kiểm tra giá cố định vì giá Tiki có thể thay đổi.</x:v>
      </x:c>
      <x:c r="F32" s="44" t="str">
        <x:v>Quantity default: 1</x:v>
      </x:c>
      <x:c r="G32" s="57" t="str">
        <x:v>Untested</x:v>
      </x:c>
    </x:row>
    <x:row r="33" ht="92" customHeight="1">
      <x:c r="A33" s="44" t="str">
        <x:v>TKI_CART_005</x:v>
      </x:c>
      <x:c r="B33" s="44" t="str">
        <x:v>Kiểm tra tăng số lượng sản phẩm trên trang chi tiết.</x:v>
      </x:c>
      <x:c r="C33" s="44" t="str">
        <x:v>1. Mở trang chi tiết sản phẩm còn hàng.
2. Click nút tăng số lượng.
3. Quan sát ô số lượng và tạm tính.</x:v>
      </x:c>
      <x:c r="D33" s="44" t="str">
        <x:v>1. Số lượng tăng thêm 1 đơn vị.
2. Tạm tính được cập nhật theo số lượng mới.
3. Không vượt quá số lượng tồn kho nếu hệ thống có giới hạn.</x:v>
      </x:c>
      <x:c r="E33" s="44" t="str">
        <x:v>Người dùng chưa cần đăng nhập. Chọn ngẫu nhiên sản phẩm đang còn hàng. Không kiểm tra giá cố định vì giá Tiki có thể thay đổi.</x:v>
      </x:c>
      <x:c r="F33" s="44" t="str">
        <x:v>Quantity: 1 -&gt; 2</x:v>
      </x:c>
      <x:c r="G33" s="57" t="str">
        <x:v>Untested</x:v>
      </x:c>
    </x:row>
    <x:row r="34" ht="92" customHeight="1">
      <x:c r="A34" s="44" t="str">
        <x:v>TKI_CART_006</x:v>
      </x:c>
      <x:c r="B34" s="44" t="str">
        <x:v>Kiểm tra giảm số lượng sản phẩm tại giá trị nhỏ nhất.</x:v>
      </x:c>
      <x:c r="C34" s="44" t="str">
        <x:v>1. Mở trang chi tiết sản phẩm còn hàng.
2. Đảm bảo số lượng đang là 1.
3. Click nút giảm số lượng.</x:v>
      </x:c>
      <x:c r="D34" s="44" t="str">
        <x:v>1. Số lượng không giảm nhỏ hơn 1.
2. Hệ thống giữ nguyên số lượng hoặc vô hiệu hóa nút giảm theo thiết kế.
3. Không phát sinh lỗi giao diện.</x:v>
      </x:c>
      <x:c r="E34" s="44" t="str">
        <x:v>Người dùng chưa cần đăng nhập. Chọn ngẫu nhiên sản phẩm đang còn hàng. Không kiểm tra giá cố định vì giá Tiki có thể thay đổi.</x:v>
      </x:c>
      <x:c r="F34" s="44" t="str">
        <x:v>Quantity: 1</x:v>
      </x:c>
      <x:c r="G34" s="57" t="str">
        <x:v>Untested</x:v>
      </x:c>
    </x:row>
    <x:row r="35" ht="92" customHeight="1">
      <x:c r="A35" s="44" t="str">
        <x:v>TKI_CART_007</x:v>
      </x:c>
      <x:c r="B35" s="44" t="str">
        <x:v>Kiểm tra nhập số lượng hợp lệ bằng ô input.</x:v>
      </x:c>
      <x:c r="C35" s="44" t="str">
        <x:v>1. Mở trang chi tiết sản phẩm còn hàng.
2. Chọn ô số lượng.
3. Nhập số lượng hợp lệ nếu ô cho phép nhập trực tiếp.</x:v>
      </x:c>
      <x:c r="D35" s="44" t="str">
        <x:v>1. Số lượng được cập nhật theo giá trị hợp lệ.
2. Tạm tính được cập nhật.
3. Nếu ô không cho nhập trực tiếp, hệ thống vẫn không phát sinh lỗi.</x:v>
      </x:c>
      <x:c r="E35" s="44" t="str">
        <x:v>Người dùng chưa cần đăng nhập. Chọn ngẫu nhiên sản phẩm đang còn hàng. Không kiểm tra giá cố định vì giá Tiki có thể thay đổi.</x:v>
      </x:c>
      <x:c r="F35" s="44" t="str">
        <x:v>Quantity: 2</x:v>
      </x:c>
      <x:c r="G35" s="57" t="str">
        <x:v>Untested</x:v>
      </x:c>
    </x:row>
    <x:row r="36" ht="92" customHeight="1">
      <x:c r="A36" s="44" t="str">
        <x:v>TKI_CART_008</x:v>
      </x:c>
      <x:c r="B36" s="44" t="str">
        <x:v>Kiểm tra nhập số lượng không hợp lệ.</x:v>
      </x:c>
      <x:c r="C36" s="44" t="str">
        <x:v>1. Mở trang chi tiết sản phẩm.
2. Thử nhập số lượng 0, số âm hoặc ký tự chữ nếu ô cho phép nhập.
3. Quan sát phản hồi của hệ thống.</x:v>
      </x:c>
      <x:c r="D36" s="44" t="str">
        <x:v>1. Hệ thống không chấp nhận số lượng không hợp lệ.
2. Số lượng được đưa về giá trị hợp lệ hoặc hiển thị cảnh báo.
3. Không phát sinh lỗi hệ thống.</x:v>
      </x:c>
      <x:c r="E36" s="44" t="str">
        <x:v>Người dùng chưa cần đăng nhập. Chọn ngẫu nhiên sản phẩm đang còn hàng. Không kiểm tra giá cố định vì giá Tiki có thể thay đổi.</x:v>
      </x:c>
      <x:c r="F36" s="44" t="str">
        <x:v>Quantity invalid: 0, -1, abc</x:v>
      </x:c>
      <x:c r="G36" s="57" t="str">
        <x:v>Untested</x:v>
      </x:c>
    </x:row>
    <x:row r="37" ht="92" customHeight="1">
      <x:c r="A37" s="44" t="str">
        <x:v>TKI_CART_009</x:v>
      </x:c>
      <x:c r="B37" s="44" t="str">
        <x:v>Kiểm tra thêm sản phẩm vào giỏ hàng với số lượng 1.</x:v>
      </x:c>
      <x:c r="C37" s="44" t="str">
        <x:v>1. Mở trang chi tiết sản phẩm còn hàng.
2. Đảm bảo số lượng là 1.
3. Click nút Thêm vào giỏ.</x:v>
      </x:c>
      <x:c r="D37" s="44" t="str">
        <x:v>1. Hệ thống hiển thị thông báo thêm vào giỏ hàng thành công.
2. Icon giỏ hàng trên header được cập nhật số lượng.
3. Không điều hướng sai trang.</x:v>
      </x:c>
      <x:c r="E37" s="44" t="str">
        <x:v>Người dùng chưa cần đăng nhập. Chọn ngẫu nhiên sản phẩm đang còn hàng. Không kiểm tra giá cố định vì giá Tiki có thể thay đổi.</x:v>
      </x:c>
      <x:c r="F37" s="44" t="str">
        <x:v>Quantity: 1</x:v>
      </x:c>
      <x:c r="G37" s="57" t="str">
        <x:v>Untested</x:v>
      </x:c>
    </x:row>
    <x:row r="38" ht="92" customHeight="1">
      <x:c r="A38" s="44" t="str">
        <x:v>TKI_CART_010</x:v>
      </x:c>
      <x:c r="B38" s="44" t="str">
        <x:v>Kiểm tra nội dung popup/thông báo sau khi thêm vào giỏ.</x:v>
      </x:c>
      <x:c r="C38" s="44" t="str">
        <x:v>1. Thêm một sản phẩm còn hàng vào giỏ.
2. Quan sát thông báo hiển thị sau thao tác.</x:v>
      </x:c>
      <x:c r="D38" s="44" t="str">
        <x:v>1. Thông báo thành công hiển thị.
2. Có nút/đường dẫn 'Xem giỏ hàng và thanh toán' hoặc hành động tương đương.
3. Thông báo không che khuất lỗi nghiêm trọng của trang.</x:v>
      </x:c>
      <x:c r="E38" s="44" t="str">
        <x:v>Người dùng chưa cần đăng nhập. Chọn ngẫu nhiên sản phẩm đang còn hàng. Không kiểm tra giá cố định vì giá Tiki có thể thay đổi.</x:v>
      </x:c>
      <x:c r="F38" s="44" t="str">
        <x:v>Product: random in-stock product</x:v>
      </x:c>
      <x:c r="G38" s="57" t="str">
        <x:v>Untested</x:v>
      </x:c>
    </x:row>
    <x:row r="39" ht="92" customHeight="1">
      <x:c r="A39" s="44" t="str">
        <x:v>TKI_CART_011</x:v>
      </x:c>
      <x:c r="B39" s="44" t="str">
        <x:v>Kiểm tra nút Xem giỏ hàng và thanh toán sau khi thêm sản phẩm.</x:v>
      </x:c>
      <x:c r="C39" s="44" t="str">
        <x:v>1. Thêm sản phẩm vào giỏ thành công.
2. Click nút Xem giỏ hàng và thanh toán trên thông báo.
3. Chờ trang giỏ hàng tải xong.</x:v>
      </x:c>
      <x:c r="D39" s="44" t="str">
        <x:v>1. Hệ thống điều hướng tới trang giỏ hàng.
2. Sản phẩm vừa thêm xuất hiện trong giỏ.
3. Số lượng và giá hiển thị hợp lệ.</x:v>
      </x:c>
      <x:c r="E39" s="44" t="str">
        <x:v>Đã thêm sản phẩm vào giỏ thành công.</x:v>
      </x:c>
      <x:c r="F39" s="44" t="str">
        <x:v>Product: random product</x:v>
      </x:c>
      <x:c r="G39" s="57" t="str">
        <x:v>Untested</x:v>
      </x:c>
    </x:row>
    <x:row r="40" ht="92" customHeight="1">
      <x:c r="A40" s="44" t="str">
        <x:v>TKI_CART_012</x:v>
      </x:c>
      <x:c r="B40" s="44" t="str">
        <x:v>Kiểm tra click icon giỏ hàng trên header.</x:v>
      </x:c>
      <x:c r="C40" s="44" t="str">
        <x:v>1. Thêm ít nhất một sản phẩm vào giỏ.
2. Click icon giỏ hàng trên header.
3. Kiểm tra trang giỏ hàng.</x:v>
      </x:c>
      <x:c r="D40" s="44" t="str">
        <x:v>1. Hệ thống mở trang giỏ hàng.
2. Danh sách sản phẩm trong giỏ được hiển thị.
3. Tổng số sản phẩm trên header phù hợp với dữ liệu trong giỏ theo thiết kế.</x:v>
      </x:c>
      <x:c r="E40" s="44" t="str">
        <x:v>Giỏ hàng có ít nhất 1 sản phẩm.</x:v>
      </x:c>
      <x:c r="F40" s="44" t="str">
        <x:v>Cart: &gt;=1 item</x:v>
      </x:c>
      <x:c r="G40" s="57" t="str">
        <x:v>Untested</x:v>
      </x:c>
    </x:row>
    <x:row r="41" ht="92" customHeight="1">
      <x:c r="A41" s="44" t="str">
        <x:v>TKI_CART_013</x:v>
      </x:c>
      <x:c r="B41" s="44" t="str">
        <x:v>Kiểm tra thông tin sản phẩm trong giỏ hàng.</x:v>
      </x:c>
      <x:c r="C41" s="44" t="str">
        <x:v>1. Thêm sản phẩm bất kỳ vào giỏ.
2. Mở trang giỏ hàng.
3. Kiểm tra dòng sản phẩm vừa thêm.</x:v>
      </x:c>
      <x:c r="D41" s="44" t="str">
        <x:v>1. Tên sản phẩm trong giỏ khớp với sản phẩm đã thêm.
2. Đơn giá hiển thị hợp lệ.
3. Số lượng hiển thị đúng.
4. Thành tiền được hiển thị.</x:v>
      </x:c>
      <x:c r="E41" s="44" t="str">
        <x:v>Giỏ hàng có sản phẩm vừa thêm.</x:v>
      </x:c>
      <x:c r="F41" s="44" t="str">
        <x:v>Product: random product; Quantity: 1</x:v>
      </x:c>
      <x:c r="G41" s="57" t="str">
        <x:v>Untested</x:v>
      </x:c>
    </x:row>
    <x:row r="42" ht="92" customHeight="1">
      <x:c r="A42" s="44" t="str">
        <x:v>TKI_CART_014</x:v>
      </x:c>
      <x:c r="B42" s="44" t="str">
        <x:v>Kiểm tra tăng số lượng sản phẩm trong giỏ hàng.</x:v>
      </x:c>
      <x:c r="C42" s="44" t="str">
        <x:v>1. Mở giỏ hàng có sản phẩm còn hàng.
2. Click nút tăng số lượng tại dòng sản phẩm.
3. Kiểm tra số lượng và thành tiền.</x:v>
      </x:c>
      <x:c r="D42" s="44" t="str">
        <x:v>1. Số lượng tăng thêm 1.
2. Thành tiền của sản phẩm được cập nhật.
3. Tổng tiền thanh toán được cập nhật tương ứng.</x:v>
      </x:c>
      <x:c r="E42" s="44" t="str">
        <x:v>Giỏ hàng có sản phẩm còn hàng.</x:v>
      </x:c>
      <x:c r="F42" s="44" t="str">
        <x:v>Quantity: 1 -&gt; 2</x:v>
      </x:c>
      <x:c r="G42" s="57" t="str">
        <x:v>Untested</x:v>
      </x:c>
    </x:row>
    <x:row r="43" ht="92" customHeight="1">
      <x:c r="A43" s="44" t="str">
        <x:v>TKI_CART_015</x:v>
      </x:c>
      <x:c r="B43" s="44" t="str">
        <x:v>Kiểm tra giảm số lượng sản phẩm trong giỏ hàng.</x:v>
      </x:c>
      <x:c r="C43" s="44" t="str">
        <x:v>1. Mở giỏ hàng có sản phẩm số lượng lớn hơn 1.
2. Click nút giảm số lượng.
3. Kiểm tra số lượng và tổng tiền.</x:v>
      </x:c>
      <x:c r="D43" s="44" t="str">
        <x:v>1. Số lượng giảm 1 đơn vị.
2. Thành tiền và tổng tiền được cập nhật.
3. Nếu số lượng về 1, không giảm xuống 0 bằng nút giảm.</x:v>
      </x:c>
      <x:c r="E43" s="44" t="str">
        <x:v>Giỏ hàng có sản phẩm số lượng &gt;=2.</x:v>
      </x:c>
      <x:c r="F43" s="44" t="str">
        <x:v>Quantity: 2 -&gt; 1</x:v>
      </x:c>
      <x:c r="G43" s="57" t="str">
        <x:v>Untested</x:v>
      </x:c>
    </x:row>
    <x:row r="44" ht="92" customHeight="1">
      <x:c r="A44" s="44" t="str">
        <x:v>TKI_CART_016</x:v>
      </x:c>
      <x:c r="B44" s="44" t="str">
        <x:v>Kiểm tra giới hạn số lượng theo tồn kho.</x:v>
      </x:c>
      <x:c r="C44" s="44" t="str">
        <x:v>1. Mở giỏ hàng có sản phẩm hiển thị số lượng tồn kho.
2. Tăng số lượng vượt quá tồn kho nếu có thể.
3. Quan sát phản hồi hệ thống.</x:v>
      </x:c>
      <x:c r="D44" s="44" t="str">
        <x:v>1. Hệ thống không cho số lượng vượt quá tồn kho.
2. Hiển thị cảnh báo hoặc giới hạn số lượng theo thiết kế.
3. Tổng tiền không tính theo số lượng vượt giới hạn.</x:v>
      </x:c>
      <x:c r="E44" s="44" t="str">
        <x:v>Sản phẩm có thông tin tồn kho hoặc có thể kiểm tra giới hạn.</x:v>
      </x:c>
      <x:c r="F44" s="44" t="str">
        <x:v>Stock: dynamic</x:v>
      </x:c>
      <x:c r="G44" s="57" t="str">
        <x:v>Untested</x:v>
      </x:c>
    </x:row>
    <x:row r="45" ht="92" customHeight="1">
      <x:c r="A45" s="44" t="str">
        <x:v>TKI_CART_017</x:v>
      </x:c>
      <x:c r="B45" s="44" t="str">
        <x:v>Kiểm tra chọn/bỏ chọn một sản phẩm trong giỏ.</x:v>
      </x:c>
      <x:c r="C45" s="44" t="str">
        <x:v>1. Mở giỏ hàng có ít nhất 1 sản phẩm.
2. Bỏ chọn checkbox của sản phẩm.
3. Chọn lại checkbox của sản phẩm.</x:v>
      </x:c>
      <x:c r="D45" s="44" t="str">
        <x:v>1. Khi bỏ chọn, sản phẩm không còn được tính vào tổng thanh toán.
2. Khi chọn lại, sản phẩm được tính vào tổng thanh toán.
3. Trạng thái checkbox được cập nhật đúng.</x:v>
      </x:c>
      <x:c r="E45" s="44" t="str">
        <x:v>Giỏ hàng có ít nhất 1 sản phẩm.</x:v>
      </x:c>
      <x:c r="F45" s="44" t="str">
        <x:v>Checkbox item: checked/unchecked</x:v>
      </x:c>
      <x:c r="G45" s="57" t="str">
        <x:v>Untested</x:v>
      </x:c>
    </x:row>
    <x:row r="46" ht="92" customHeight="1">
      <x:c r="A46" s="44" t="str">
        <x:v>TKI_CART_018</x:v>
      </x:c>
      <x:c r="B46" s="44" t="str">
        <x:v>Kiểm tra chọn/bỏ chọn tất cả sản phẩm trong giỏ.</x:v>
      </x:c>
      <x:c r="C46" s="44" t="str">
        <x:v>1. Mở giỏ hàng có nhiều sản phẩm.
2. Click checkbox Tất cả.
3. Click lại checkbox Tất cả.</x:v>
      </x:c>
      <x:c r="D46" s="44" t="str">
        <x:v>1. Khi chọn Tất cả, tất cả sản phẩm đủ điều kiện được chọn.
2. Khi bỏ chọn Tất cả, các sản phẩm được bỏ chọn.
3. Tổng tiền thanh toán cập nhật theo trạng thái chọn.</x:v>
      </x:c>
      <x:c r="E46" s="44" t="str">
        <x:v>Giỏ hàng có ít nhất 2 sản phẩm đủ điều kiện thanh toán.</x:v>
      </x:c>
      <x:c r="F46" s="44" t="str">
        <x:v>Cart items: &gt;=2</x:v>
      </x:c>
      <x:c r="G46" s="57" t="str">
        <x:v>Untested</x:v>
      </x:c>
    </x:row>
    <x:row r="47" ht="92" customHeight="1">
      <x:c r="A47" s="44" t="str">
        <x:v>TKI_CART_019</x:v>
      </x:c>
      <x:c r="B47" s="44" t="str">
        <x:v>Kiểm tra sản phẩm hết hàng trong giỏ hàng.</x:v>
      </x:c>
      <x:c r="C47" s="44" t="str">
        <x:v>1. Mở giỏ hàng có sản phẩm hết hàng nếu có.
2. Quan sát dòng sản phẩm hết hàng.
3. Thử chọn sản phẩm hết hàng để thanh toán.</x:v>
      </x:c>
      <x:c r="D47" s="44" t="str">
        <x:v>1. Sản phẩm hết hàng hiển thị trạng thái 'Hết hàng' hoặc tương đương.
2. Sản phẩm hết hàng không được chọn để thanh toán.
3. Tổng tiền không tính sản phẩm hết hàng.</x:v>
      </x:c>
      <x:c r="E47" s="44" t="str">
        <x:v>Giỏ hàng có sản phẩm hết hàng hoặc dữ liệu test đã chuẩn bị.</x:v>
      </x:c>
      <x:c r="F47" s="44" t="str">
        <x:v>Product status: out of stock</x:v>
      </x:c>
      <x:c r="G47" s="57" t="str">
        <x:v>Untested</x:v>
      </x:c>
    </x:row>
    <x:row r="48" ht="92" customHeight="1">
      <x:c r="A48" s="44" t="str">
        <x:v>TKI_CART_020</x:v>
      </x:c>
      <x:c r="B48" s="44" t="str">
        <x:v>Kiểm tra xóa một sản phẩm khỏi giỏ hàng.</x:v>
      </x:c>
      <x:c r="C48" s="44" t="str">
        <x:v>1. Mở giỏ hàng có ít nhất 1 sản phẩm.
2. Click icon xóa tại dòng sản phẩm.
3. Xác nhận xóa nếu có popup xác nhận.</x:v>
      </x:c>
      <x:c r="D48" s="44" t="str">
        <x:v>1. Sản phẩm bị xóa khỏi giỏ hàng.
2. Tổng tiền và số lượng sản phẩm được cập nhật.
3. Nếu giỏ trống, hiển thị trạng thái giỏ hàng trống theo thiết kế.</x:v>
      </x:c>
      <x:c r="E48" s="44" t="str">
        <x:v>Giỏ hàng có ít nhất 1 sản phẩm có thể xóa.</x:v>
      </x:c>
      <x:c r="F48" s="44" t="str">
        <x:v>Action: delete item</x:v>
      </x:c>
      <x:c r="G48" s="57" t="str">
        <x:v>Untested</x:v>
      </x:c>
    </x:row>
    <x:row r="49" ht="92" customHeight="1">
      <x:c r="A49" s="44" t="str">
        <x:v>TKI_CART_021</x:v>
      </x:c>
      <x:c r="B49" s="44" t="str">
        <x:v>Kiểm tra tổng tiền hàng, giảm giá và tổng tiền thanh toán.</x:v>
      </x:c>
      <x:c r="C49" s="44" t="str">
        <x:v>1. Mở giỏ hàng có sản phẩm được chọn.
2. Quan sát khối tổng tiền bên phải.
3. So sánh tổng tiền hàng, giảm giá và tổng thanh toán.</x:v>
      </x:c>
      <x:c r="D49" s="44" t="str">
        <x:v>1. Tổng tiền hàng bằng tổng thành tiền các sản phẩm được chọn trước giảm giá.
2. Giảm giá trực tiếp/khuyến mãi được hiển thị nếu có.
3. Tổng tiền thanh toán bằng tổng tiền hàng trừ giảm giá theo dữ liệu đang hiển thị.</x:v>
      </x:c>
      <x:c r="E49" s="44" t="str">
        <x:v>Giỏ hàng có ít nhất 1 sản phẩm được chọn.</x:v>
      </x:c>
      <x:c r="F49" s="44" t="str">
        <x:v>Cart total: dynamic</x:v>
      </x:c>
      <x:c r="G49" s="57" t="str">
        <x:v>Untested</x:v>
      </x:c>
    </x:row>
    <x:row r="50" ht="92" customHeight="1">
      <x:c r="A50" s="44" t="str">
        <x:v>TKI_CART_022</x:v>
      </x:c>
      <x:c r="B50" s="44" t="str">
        <x:v>Kiểm tra hiển thị khuyến mãi/freeship trong giỏ hàng.</x:v>
      </x:c>
      <x:c r="C50" s="44" t="str">
        <x:v>1. Mở giỏ hàng có sản phẩm.
2. Quan sát khu vực Tiki Khuyến Mãi hoặc freeship.
3. Nếu có mã đang chọn, kiểm tra trạng thái mã.</x:v>
      </x:c>
      <x:c r="D50" s="44" t="str">
        <x:v>1. Khu vực khuyến mãi hiển thị theo thiết kế.
2. Mã được chọn/không chọn hiển thị rõ trạng thái.
3. Tổng tiền phản ánh khuyến mãi nếu mã được áp dụng.</x:v>
      </x:c>
      <x:c r="E50" s="44" t="str">
        <x:v>Giỏ hàng có sản phẩm đủ/không đủ điều kiện khuyến mãi.</x:v>
      </x:c>
      <x:c r="F50" s="44" t="str">
        <x:v>Promotion: dynamic</x:v>
      </x:c>
      <x:c r="G50" s="57" t="str">
        <x:v>Untested</x:v>
      </x:c>
    </x:row>
    <x:row r="51" ht="92" customHeight="1">
      <x:c r="A51" s="44" t="str">
        <x:v>TKI_CART_023</x:v>
      </x:c>
      <x:c r="B51" s="44" t="str">
        <x:v>Kiểm tra điều kiện freeship chưa đạt ngưỡng.</x:v>
      </x:c>
      <x:c r="C51" s="44" t="str">
        <x:v>1. Thêm sản phẩm có giá thấp hơn ngưỡng freeship nếu có.
2. Mở giỏ hàng.
3. Quan sát thông báo freeship.</x:v>
      </x:c>
      <x:c r="D51" s="44" t="str">
        <x:v>1. Hệ thống hiển thị thông tin cần mua thêm để đạt freeship nếu chưa đủ điều kiện.
2. Không tự áp dụng freeship khi chưa đạt điều kiện.
3. Tổng thanh toán vẫn hợp lệ.</x:v>
      </x:c>
      <x:c r="E51" s="44" t="str">
        <x:v>Sản phẩm có giá trị đơn hàng thấp hơn ngưỡng freeship đang hiển thị.</x:v>
      </x:c>
      <x:c r="F51" s="44" t="str">
        <x:v>Order value: below freeship threshold</x:v>
      </x:c>
      <x:c r="G51" s="57" t="str">
        <x:v>Untested</x:v>
      </x:c>
    </x:row>
    <x:row r="52" ht="92" customHeight="1">
      <x:c r="A52" s="44" t="str">
        <x:v>TKI_CART_024</x:v>
      </x:c>
      <x:c r="B52" s="44" t="str">
        <x:v>Kiểm tra điều kiện freeship đạt ngưỡng.</x:v>
      </x:c>
      <x:c r="C52" s="44" t="str">
        <x:v>1. Thêm sản phẩm hoặc tăng số lượng để đạt ngưỡng freeship nếu có.
2. Mở giỏ hàng.
3. Quan sát khuyến mãi vận chuyển.</x:v>
      </x:c>
      <x:c r="D52" s="44" t="str">
        <x:v>1. Hệ thống hiển thị trạng thái đủ điều kiện freeship hoặc áp dụng mã vận chuyển theo thiết kế.
2. Tổng tiền/ưu đãi được cập nhật đúng.
3. Không phát sinh lỗi tính toán.</x:v>
      </x:c>
      <x:c r="E52" s="44" t="str">
        <x:v>Có thể tạo đơn hàng đạt ngưỡng freeship.</x:v>
      </x:c>
      <x:c r="F52" s="44" t="str">
        <x:v>Order value: &gt;= freeship threshold</x:v>
      </x:c>
      <x:c r="G52" s="57" t="str">
        <x:v>Untested</x:v>
      </x:c>
    </x:row>
    <x:row r="53" ht="92" customHeight="1">
      <x:c r="A53" s="44" t="str">
        <x:v>TKI_CART_025</x:v>
      </x:c>
      <x:c r="B53" s="44" t="str">
        <x:v>Kiểm tra nút Mua Hàng khi chưa đăng nhập.</x:v>
      </x:c>
      <x:c r="C53" s="44" t="str">
        <x:v>1. Mở giỏ hàng có sản phẩm được chọn.
2. Đảm bảo người dùng chưa đăng nhập.
3. Click nút Mua Hàng.</x:v>
      </x:c>
      <x:c r="D53" s="44" t="str">
        <x:v>1. Hệ thống yêu cầu đăng nhập hoặc mở popup đăng nhập.
2. Không cho hoàn tất thanh toán khi chưa xác thực tài khoản.
3. Sản phẩm trong giỏ vẫn được giữ nguyên.</x:v>
      </x:c>
      <x:c r="E53" s="44" t="str">
        <x:v>Người dùng chưa đăng nhập. Giỏ hàng có sản phẩm được chọn.</x:v>
      </x:c>
      <x:c r="F53" s="44" t="str">
        <x:v>Cart: &gt;=1 selected item</x:v>
      </x:c>
      <x:c r="G53" s="57" t="str">
        <x:v>Untested</x:v>
      </x:c>
    </x:row>
    <x:row r="54" ht="92" customHeight="1">
      <x:c r="A54" s="44" t="str">
        <x:v>TKI_CART_026</x:v>
      </x:c>
      <x:c r="B54" s="44" t="str">
        <x:v>Kiểm tra nút Mua ngay trên trang chi tiết sản phẩm khi chưa đăng nhập.</x:v>
      </x:c>
      <x:c r="C54" s="44" t="str">
        <x:v>1. Mở trang chi tiết sản phẩm còn hàng.
2. Đảm bảo người dùng chưa đăng nhập.
3. Click nút Mua ngay.</x:v>
      </x:c>
      <x:c r="D54" s="44" t="str">
        <x:v>1. Hệ thống mở popup đăng nhập hoặc chuyển sang luồng yêu cầu đăng nhập theo thiết kế.
2. Không phát sinh lỗi.
3. Sản phẩm được giữ cho luồng mua hàng hiện tại nếu hệ thống hỗ trợ.</x:v>
      </x:c>
      <x:c r="E54" s="44" t="str">
        <x:v>Người dùng chưa đăng nhập. Sản phẩm còn hàng.</x:v>
      </x:c>
      <x:c r="F54" s="44" t="str">
        <x:v>Product: random in-stock product</x:v>
      </x:c>
      <x:c r="G54" s="57" t="str">
        <x:v>Untested</x:v>
      </x:c>
    </x:row>
    <x:row r="55" ht="92" customHeight="1">
      <x:c r="A55" s="44" t="str">
        <x:v>TKI_CART_027</x:v>
      </x:c>
      <x:c r="B55" s="44" t="str">
        <x:v>Kiểm tra nút Mua Hàng khi đã đăng nhập.</x:v>
      </x:c>
      <x:c r="C55" s="44" t="str">
        <x:v>1. Đăng nhập bằng tài khoản test.
2. Mở giỏ hàng có sản phẩm được chọn.
3. Click nút Mua Hàng.</x:v>
      </x:c>
      <x:c r="D55" s="44" t="str">
        <x:v>1. Hệ thống cho đi tới bước thanh toán/đặt hàng tiếp theo theo thiết kế.
2. Thông tin sản phẩm và tổng tiền được giữ đúng.
3. Không mở lại popup đăng nhập.</x:v>
      </x:c>
      <x:c r="E55" s="44" t="str">
        <x:v>Đã đăng nhập bằng tài khoản test. Giỏ hàng có sản phẩm được chọn.</x:v>
      </x:c>
      <x:c r="F55" s="44" t="str">
        <x:v>Account: TEST_ACCOUNT; Cart: &gt;=1 selected item</x:v>
      </x:c>
      <x:c r="G55" s="57" t="str">
        <x:v>Untested</x:v>
      </x:c>
    </x:row>
    <x:row r="56" ht="92" customHeight="1">
      <x:c r="A56" s="44" t="str">
        <x:v>TKI_CART_028</x:v>
      </x:c>
      <x:c r="B56" s="44" t="str">
        <x:v>Kiểm tra giỏ hàng trống.</x:v>
      </x:c>
      <x:c r="C56" s="44" t="str">
        <x:v>1. Xóa toàn bộ sản phẩm khỏi giỏ hàng hoặc dùng tài khoản/phiên mới chưa có sản phẩm.
2. Mở trang giỏ hàng.</x:v>
      </x:c>
      <x:c r="D56" s="44" t="str">
        <x:v>1. Hệ thống hiển thị trạng thái giỏ hàng trống.
2. Không hiển thị tổng thanh toán sai.
3. Người dùng có đường dẫn/hành động để tiếp tục mua sắm nếu hệ thống hỗ trợ.</x:v>
      </x:c>
      <x:c r="E56" s="44" t="str">
        <x:v>Giỏ hàng không có sản phẩm hợp lệ.</x:v>
      </x:c>
      <x:c r="F56" s="44" t="str">
        <x:v>Cart: empty</x:v>
      </x:c>
      <x:c r="G56" s="57" t="str">
        <x:v>Untested</x:v>
      </x:c>
    </x:row>
    <x:row r="57" ht="24" customHeight="1">
      <x:c r="A57" s="46" t="str">
        <x:v>Chức năng đăng nhập</x:v>
      </x:c>
      <x:c r="B57" s="46"/>
      <x:c r="C57" s="46"/>
      <x:c r="D57" s="46"/>
      <x:c r="E57" s="46"/>
      <x:c r="F57" s="46"/>
      <x:c r="G57" s="56"/>
    </x:row>
    <x:row r="58" ht="92" customHeight="1">
      <x:c r="A58" s="44" t="str">
        <x:v>TKI_LOGIN_001</x:v>
      </x:c>
      <x:c r="B58" s="44" t="str">
        <x:v>Kiểm tra mở popup đăng nhập từ header.</x:v>
      </x:c>
      <x:c r="C58" s="44" t="str">
        <x:v>1. Truy cập trang chủ Tiki.
2. Click mục Tài khoản trên header.
3. Quan sát popup đăng nhập.</x:v>
      </x:c>
      <x:c r="D58" s="44" t="str">
        <x:v>1. Popup đăng nhập được hiển thị.
2. Popup có tiêu đề Xin chào.
3. Có ô nhập số điện thoại, checkbox đồng ý điều khoản, nút Tiếp Tục và các phương thức đăng nhập khác nếu có.</x:v>
      </x:c>
      <x:c r="E58" s="44" t="str">
        <x:v>Người dùng chưa đăng nhập.</x:v>
      </x:c>
      <x:c r="F58" s="44" t="str">
        <x:v>Action: click Tài khoản</x:v>
      </x:c>
      <x:c r="G58" s="57" t="str">
        <x:v>Untested</x:v>
      </x:c>
    </x:row>
    <x:row r="59" ht="92" customHeight="1">
      <x:c r="A59" s="44" t="str">
        <x:v>TKI_LOGIN_002</x:v>
      </x:c>
      <x:c r="B59" s="44" t="str">
        <x:v>Kiểm tra đóng popup đăng nhập.</x:v>
      </x:c>
      <x:c r="C59" s="44" t="str">
        <x:v>1. Mở popup đăng nhập.
2. Click nút đóng ở góc popup.
3. Quan sát trạng thái trang.</x:v>
      </x:c>
      <x:c r="D59" s="44" t="str">
        <x:v>1. Popup đăng nhập được đóng.
2. Người dùng quay lại trang trước đó.
3. Không làm mất dữ liệu giỏ hàng/tìm kiếm đang có.</x:v>
      </x:c>
      <x:c r="E59" s="44" t="str">
        <x:v>Popup đăng nhập đang hiển thị.</x:v>
      </x:c>
      <x:c r="F59" s="44" t="str">
        <x:v>Action: click close button</x:v>
      </x:c>
      <x:c r="G59" s="57" t="str">
        <x:v>Untested</x:v>
      </x:c>
    </x:row>
    <x:row r="60" ht="92" customHeight="1">
      <x:c r="A60" s="44" t="str">
        <x:v>TKI_LOGIN_003</x:v>
      </x:c>
      <x:c r="B60" s="44" t="str">
        <x:v>Kiểm tra nút Tiếp Tục khi chưa nhập số điện thoại.</x:v>
      </x:c>
      <x:c r="C60" s="44" t="str">
        <x:v>1. Mở popup đăng nhập.
2. Để trống ô số điện thoại.
3. Quan sát trạng thái nút Tiếp Tục hoặc click nếu nút cho phép.</x:v>
      </x:c>
      <x:c r="D60" s="44" t="str">
        <x:v>1. Hệ thống không cho đi tiếp khi thiếu số điện thoại.
2. Nút Tiếp Tục bị vô hiệu hóa hoặc hiển thị cảnh báo theo thiết kế.
3. Không phát sinh lỗi hệ thống.</x:v>
      </x:c>
      <x:c r="E60" s="44" t="str">
        <x:v>Người dùng chưa đăng nhập. Có tài khoản test hợp lệ. Không lưu thông tin nhạy cảm trực tiếp trong test case.</x:v>
      </x:c>
      <x:c r="F60" s="44" t="str">
        <x:v>Phone: &lt;empty&gt;</x:v>
      </x:c>
      <x:c r="G60" s="57" t="str">
        <x:v>Untested</x:v>
      </x:c>
    </x:row>
    <x:row r="61" ht="92" customHeight="1">
      <x:c r="A61" s="44" t="str">
        <x:v>TKI_LOGIN_004</x:v>
      </x:c>
      <x:c r="B61" s="44" t="str">
        <x:v>Kiểm tra đăng nhập với số điện thoại sai định dạng.</x:v>
      </x:c>
      <x:c r="C61" s="44" t="str">
        <x:v>1. Mở popup đăng nhập.
2. Nhập số điện thoại sai định dạng.
3. Tick checkbox đồng ý điều khoản nếu cần.
4. Click Tiếp Tục.</x:v>
      </x:c>
      <x:c r="D61" s="44" t="str">
        <x:v>1. Hệ thống không chuyển sang bước xác thực thành công.
2. Hiển thị thông báo lỗi định dạng số điện thoại hoặc trạng thái không hợp lệ.
3. Không phát sinh lỗi hệ thống.</x:v>
      </x:c>
      <x:c r="E61" s="44" t="str">
        <x:v>Người dùng chưa đăng nhập. Có tài khoản test hợp lệ. Không lưu thông tin nhạy cảm trực tiếp trong test case.</x:v>
      </x:c>
      <x:c r="F61" s="44" t="str">
        <x:v>Phone: 12345</x:v>
      </x:c>
      <x:c r="G61" s="57" t="str">
        <x:v>Untested</x:v>
      </x:c>
    </x:row>
    <x:row r="62" ht="92" customHeight="1">
      <x:c r="A62" s="44" t="str">
        <x:v>TKI_LOGIN_005</x:v>
      </x:c>
      <x:c r="B62" s="44" t="str">
        <x:v>Kiểm tra ô số điện thoại với ký tự chữ.</x:v>
      </x:c>
      <x:c r="C62" s="44" t="str">
        <x:v>1. Mở popup đăng nhập.
2. Nhập ký tự chữ vào ô số điện thoại.
3. Quan sát dữ liệu được nhập và phản hồi.</x:v>
      </x:c>
      <x:c r="D62" s="44" t="str">
        <x:v>1. Hệ thống chặn ký tự không hợp lệ hoặc hiển thị lỗi phù hợp.
2. Không chấp nhận dữ liệu chữ như số điện thoại hợp lệ.
3. Không phát sinh lỗi giao diện.</x:v>
      </x:c>
      <x:c r="E62" s="44" t="str">
        <x:v>Người dùng chưa đăng nhập. Có tài khoản test hợp lệ. Không lưu thông tin nhạy cảm trực tiếp trong test case.</x:v>
      </x:c>
      <x:c r="F62" s="44" t="str">
        <x:v>Phone: abcdefghij</x:v>
      </x:c>
      <x:c r="G62" s="57" t="str">
        <x:v>Untested</x:v>
      </x:c>
    </x:row>
    <x:row r="63" ht="92" customHeight="1">
      <x:c r="A63" s="44" t="str">
        <x:v>TKI_LOGIN_006</x:v>
      </x:c>
      <x:c r="B63" s="44" t="str">
        <x:v>Kiểm tra ô số điện thoại với ký tự đặc biệt.</x:v>
      </x:c>
      <x:c r="C63" s="44" t="str">
        <x:v>1. Mở popup đăng nhập.
2. Nhập ký tự đặc biệt vào ô số điện thoại.
3. Quan sát phản hồi.</x:v>
      </x:c>
      <x:c r="D63" s="44" t="str">
        <x:v>1. Hệ thống không chấp nhận ký tự đặc biệt như số điện thoại hợp lệ.
2. Hiển thị lỗi hoặc chặn nhập theo thiết kế.
3. Không phát sinh lỗi hệ thống.</x:v>
      </x:c>
      <x:c r="E63" s="44" t="str">
        <x:v>Người dùng chưa đăng nhập. Có tài khoản test hợp lệ. Không lưu thông tin nhạy cảm trực tiếp trong test case.</x:v>
      </x:c>
      <x:c r="F63" s="44" t="str">
        <x:v>Phone: @#$%^&amp;*</x:v>
      </x:c>
      <x:c r="G63" s="57" t="str">
        <x:v>Untested</x:v>
      </x:c>
    </x:row>
    <x:row r="64" ht="92" customHeight="1">
      <x:c r="A64" s="44" t="str">
        <x:v>TKI_LOGIN_007</x:v>
      </x:c>
      <x:c r="B64" s="44" t="str">
        <x:v>Kiểm tra đăng nhập bằng số điện thoại hợp lệ nhưng chưa đồng ý điều khoản.</x:v>
      </x:c>
      <x:c r="C64" s="44" t="str">
        <x:v>1. Mở popup đăng nhập.
2. Nhập số điện thoại hợp lệ của tài khoản test.
3. Không tick checkbox đồng ý điều khoản.
4. Click Tiếp Tục nếu nút cho phép.</x:v>
      </x:c>
      <x:c r="D64" s="44" t="str">
        <x:v>1. Hệ thống không cho đi tiếp nếu điều khoản là bắt buộc.
2. Hiển thị cảnh báo hoặc giữ nút Tiếp Tục ở trạng thái không khả dụng theo thiết kế.
3. Không phát sinh lỗi.</x:v>
      </x:c>
      <x:c r="E64" s="44" t="str">
        <x:v>Người dùng chưa đăng nhập. Có tài khoản test hợp lệ. Không lưu thông tin nhạy cảm trực tiếp trong test case.</x:v>
      </x:c>
      <x:c r="F64" s="44" t="str">
        <x:v>Phone: {{TEST_PHONE}}; Terms: unchecked</x:v>
      </x:c>
      <x:c r="G64" s="57" t="str">
        <x:v>Untested</x:v>
      </x:c>
    </x:row>
    <x:row r="65" ht="92" customHeight="1">
      <x:c r="A65" s="44" t="str">
        <x:v>TKI_LOGIN_008</x:v>
      </x:c>
      <x:c r="B65" s="44" t="str">
        <x:v>Kiểm tra đăng nhập bằng số điện thoại hợp lệ và đồng ý điều khoản.</x:v>
      </x:c>
      <x:c r="C65" s="44" t="str">
        <x:v>1. Mở popup đăng nhập.
2. Nhập số điện thoại hợp lệ của tài khoản test.
3. Tick checkbox đồng ý điều khoản.
4. Click Tiếp Tục.</x:v>
      </x:c>
      <x:c r="D65" s="44" t="str">
        <x:v>1. Hệ thống chuyển sang bước xác thực tiếp theo theo luồng Tiki.
2. Không báo lỗi định dạng số điện thoại.
3. Không đóng popup bất thường.</x:v>
      </x:c>
      <x:c r="E65" s="44" t="str">
        <x:v>Người dùng chưa đăng nhập. Có tài khoản test hợp lệ. Không lưu thông tin nhạy cảm trực tiếp trong test case.</x:v>
      </x:c>
      <x:c r="F65" s="44" t="str">
        <x:v>Phone: {{TEST_PHONE}}; Terms: checked</x:v>
      </x:c>
      <x:c r="G65" s="57" t="str">
        <x:v>Untested</x:v>
      </x:c>
    </x:row>
    <x:row r="66" ht="92" customHeight="1">
      <x:c r="A66" s="44" t="str">
        <x:v>TKI_LOGIN_009</x:v>
      </x:c>
      <x:c r="B66" s="44" t="str">
        <x:v>Kiểm tra link điều khoản sử dụng trong popup đăng nhập.</x:v>
      </x:c>
      <x:c r="C66" s="44" t="str">
        <x:v>1. Mở popup đăng nhập.
2. Click link điều khoản sử dụng.
3. Quan sát điều hướng hoặc tab mới.</x:v>
      </x:c>
      <x:c r="D66" s="44" t="str">
        <x:v>1. Hệ thống mở trang điều khoản sử dụng hoặc tab liên quan.
2. Link hoạt động.
3. Người dùng có thể quay lại luồng đăng nhập.</x:v>
      </x:c>
      <x:c r="E66" s="44" t="str">
        <x:v>Popup đăng nhập đang hiển thị.</x:v>
      </x:c>
      <x:c r="F66" s="44" t="str">
        <x:v>Link: điều khoản sử dụng</x:v>
      </x:c>
      <x:c r="G66" s="57" t="str">
        <x:v>Untested</x:v>
      </x:c>
    </x:row>
    <x:row r="67" ht="92" customHeight="1">
      <x:c r="A67" s="44" t="str">
        <x:v>TKI_LOGIN_010</x:v>
      </x:c>
      <x:c r="B67" s="44" t="str">
        <x:v>Kiểm tra link chính sách bảo mật thông tin cá nhân trong popup đăng nhập.</x:v>
      </x:c>
      <x:c r="C67" s="44" t="str">
        <x:v>1. Mở popup đăng nhập.
2. Click link Chính sách bảo mật thông tin cá nhân.
3. Quan sát điều hướng hoặc tab mới.</x:v>
      </x:c>
      <x:c r="D67" s="44" t="str">
        <x:v>1. Hệ thống mở trang chính sách bảo mật hoặc tab liên quan.
2. Link hoạt động.
3. Không làm hỏng trạng thái phiên hiện tại.</x:v>
      </x:c>
      <x:c r="E67" s="44" t="str">
        <x:v>Popup đăng nhập đang hiển thị.</x:v>
      </x:c>
      <x:c r="F67" s="44" t="str">
        <x:v>Link: Chính sách bảo mật thông tin cá nhân</x:v>
      </x:c>
      <x:c r="G67" s="57" t="str">
        <x:v>Untested</x:v>
      </x:c>
    </x:row>
    <x:row r="68" ht="92" customHeight="1">
      <x:c r="A68" s="44" t="str">
        <x:v>TKI_LOGIN_011</x:v>
      </x:c>
      <x:c r="B68" s="44" t="str">
        <x:v>Kiểm tra chuyển sang đăng nhập bằng email.</x:v>
      </x:c>
      <x:c r="C68" s="44" t="str">
        <x:v>1. Mở popup đăng nhập.
2. Click link Đăng nhập bằng email.
3. Quan sát màn hình/khối đăng nhập email.</x:v>
      </x:c>
      <x:c r="D68" s="44" t="str">
        <x:v>1. Hệ thống chuyển sang luồng đăng nhập bằng email.
2. Hiển thị trường email và các trường xác thực liên quan theo thiết kế.
3. Không đóng popup bất thường.</x:v>
      </x:c>
      <x:c r="E68" s="44" t="str">
        <x:v>Popup đăng nhập đang hiển thị.</x:v>
      </x:c>
      <x:c r="F68" s="44" t="str">
        <x:v>Action: click Đăng nhập bằng email</x:v>
      </x:c>
      <x:c r="G68" s="57" t="str">
        <x:v>Untested</x:v>
      </x:c>
    </x:row>
    <x:row r="69" ht="92" customHeight="1">
      <x:c r="A69" s="44" t="str">
        <x:v>TKI_LOGIN_012</x:v>
      </x:c>
      <x:c r="B69" s="44" t="str">
        <x:v>Kiểm tra đăng nhập bằng email với email rỗng.</x:v>
      </x:c>
      <x:c r="C69" s="44" t="str">
        <x:v>1. Mở luồng đăng nhập bằng email.
2. Để trống trường email.
3. Click nút tiếp tục/đăng nhập nếu có.</x:v>
      </x:c>
      <x:c r="D69" s="44" t="str">
        <x:v>1. Hệ thống không cho đăng nhập với email rỗng.
2. Hiển thị cảnh báo hoặc giữ nút ở trạng thái không khả dụng.
3. Không phát sinh lỗi hệ thống.</x:v>
      </x:c>
      <x:c r="E69" s="44" t="str">
        <x:v>Đang ở màn hình đăng nhập bằng email.</x:v>
      </x:c>
      <x:c r="F69" s="44" t="str">
        <x:v>Email: &lt;empty&gt;</x:v>
      </x:c>
      <x:c r="G69" s="57" t="str">
        <x:v>Untested</x:v>
      </x:c>
    </x:row>
    <x:row r="70" ht="92" customHeight="1">
      <x:c r="A70" s="44" t="str">
        <x:v>TKI_LOGIN_013</x:v>
      </x:c>
      <x:c r="B70" s="44" t="str">
        <x:v>Kiểm tra đăng nhập bằng email sai định dạng.</x:v>
      </x:c>
      <x:c r="C70" s="44" t="str">
        <x:v>1. Mở luồng đăng nhập bằng email.
2. Nhập email sai định dạng.
3. Click nút tiếp tục/đăng nhập nếu có.</x:v>
      </x:c>
      <x:c r="D70" s="44" t="str">
        <x:v>1. Hệ thống không chấp nhận email sai định dạng.
2. Hiển thị thông báo lỗi phù hợp.
3. Không chuyển sang trạng thái đăng nhập thành công.</x:v>
      </x:c>
      <x:c r="E70" s="44" t="str">
        <x:v>Đang ở màn hình đăng nhập bằng email.</x:v>
      </x:c>
      <x:c r="F70" s="44" t="str">
        <x:v>Email: invalid-email</x:v>
      </x:c>
      <x:c r="G70" s="57" t="str">
        <x:v>Untested</x:v>
      </x:c>
    </x:row>
    <x:row r="71" ht="92" customHeight="1">
      <x:c r="A71" s="44" t="str">
        <x:v>TKI_LOGIN_014</x:v>
      </x:c>
      <x:c r="B71" s="44" t="str">
        <x:v>Kiểm tra đăng nhập bằng email hợp lệ của tài khoản test.</x:v>
      </x:c>
      <x:c r="C71" s="44" t="str">
        <x:v>1. Mở luồng đăng nhập bằng email.
2. Nhập email hợp lệ của tài khoản test.
3. Nhập thông tin xác thực tiếp theo nếu hệ thống yêu cầu.
4. Hoàn tất luồng đăng nhập.</x:v>
      </x:c>
      <x:c r="D71" s="44" t="str">
        <x:v>1. Hệ thống xác thực thành công với tài khoản test.
2. Popup đăng nhập đóng hoặc chuyển sang trạng thái đã đăng nhập.
3. Header hiển thị thông tin tài khoản/người dùng theo thiết kế.</x:v>
      </x:c>
      <x:c r="E71" s="44" t="str">
        <x:v>Có tài khoản test hợp lệ và phương thức xác thực có thể dùng trong môi trường test.</x:v>
      </x:c>
      <x:c r="F71" s="44" t="str">
        <x:v>Email: {{TEST_EMAIL}}; Credential/OTP: {{TEST_SECRET}}</x:v>
      </x:c>
      <x:c r="G71" s="57" t="str">
        <x:v>Untested</x:v>
      </x:c>
    </x:row>
    <x:row r="72" ht="92" customHeight="1">
      <x:c r="A72" s="44" t="str">
        <x:v>TKI_LOGIN_015</x:v>
      </x:c>
      <x:c r="B72" s="44" t="str">
        <x:v>Kiểm tra nhập sai thông tin xác thực của tài khoản test.</x:v>
      </x:c>
      <x:c r="C72" s="44" t="str">
        <x:v>1. Mở luồng đăng nhập bằng phone hoặc email.
2. Nhập tài khoản hợp lệ.
3. Nhập OTP/mật khẩu/thông tin xác thực sai.
4. Submit.</x:v>
      </x:c>
      <x:c r="D72" s="44" t="str">
        <x:v>1. Hệ thống không đăng nhập thành công.
2. Hiển thị thông báo lỗi xác thực.
3. Người dùng có thể nhập lại thông tin.</x:v>
      </x:c>
      <x:c r="E72" s="44" t="str">
        <x:v>Có tài khoản test. Có thể nhập sai thông tin xác thực trong môi trường test.</x:v>
      </x:c>
      <x:c r="F72" s="44" t="str">
        <x:v>Account: {{TEST_ACCOUNT}}; Secret: invalid</x:v>
      </x:c>
      <x:c r="G72" s="57" t="str">
        <x:v>Untested</x:v>
      </x:c>
    </x:row>
    <x:row r="73" ht="92" customHeight="1">
      <x:c r="A73" s="44" t="str">
        <x:v>TKI_LOGIN_016</x:v>
      </x:c>
      <x:c r="B73" s="44" t="str">
        <x:v>Kiểm tra đăng nhập bằng tài khoản Google.</x:v>
      </x:c>
      <x:c r="C73" s="44" t="str">
        <x:v>1. Mở popup đăng nhập.
2. Click biểu tượng Google.
3. Quan sát cửa sổ/trang xác thực Google.</x:v>
      </x:c>
      <x:c r="D73" s="44" t="str">
        <x:v>1. Hệ thống mở luồng xác thực Google.
2. Không phát sinh lỗi khi mở provider.
3. Có thể quay lại website sau khi đóng/hủy xác thực.</x:v>
      </x:c>
      <x:c r="E73" s="44" t="str">
        <x:v>Popup đăng nhập đang hiển thị. Môi trường test cho phép mở provider bên ngoài.</x:v>
      </x:c>
      <x:c r="F73" s="44" t="str">
        <x:v>Provider: Google</x:v>
      </x:c>
      <x:c r="G73" s="57" t="str">
        <x:v>Untested</x:v>
      </x:c>
    </x:row>
    <x:row r="74" ht="92" customHeight="1">
      <x:c r="A74" s="44" t="str">
        <x:v>TKI_LOGIN_017</x:v>
      </x:c>
      <x:c r="B74" s="44" t="str">
        <x:v>Kiểm tra đăng nhập bằng tài khoản Facebook.</x:v>
      </x:c>
      <x:c r="C74" s="44" t="str">
        <x:v>1. Mở popup đăng nhập.
2. Click biểu tượng Facebook.
3. Quan sát cửa sổ/trang xác thực Facebook.</x:v>
      </x:c>
      <x:c r="D74" s="44" t="str">
        <x:v>1. Hệ thống mở luồng xác thực Facebook.
2. Không phát sinh lỗi khi mở provider.
3. Có thể quay lại website sau khi đóng/hủy xác thực.</x:v>
      </x:c>
      <x:c r="E74" s="44" t="str">
        <x:v>Popup đăng nhập đang hiển thị. Môi trường test cho phép mở provider bên ngoài.</x:v>
      </x:c>
      <x:c r="F74" s="44" t="str">
        <x:v>Provider: Facebook</x:v>
      </x:c>
      <x:c r="G74" s="57" t="str">
        <x:v>Untested</x:v>
      </x:c>
    </x:row>
    <x:row r="75" ht="92" customHeight="1">
      <x:c r="A75" s="44" t="str">
        <x:v>TKI_LOGIN_018</x:v>
      </x:c>
      <x:c r="B75" s="44" t="str">
        <x:v>Kiểm tra trạng thái sau khi đăng nhập thành công.</x:v>
      </x:c>
      <x:c r="C75" s="44" t="str">
        <x:v>1. Đăng nhập thành công bằng tài khoản test.
2. Quan sát header.
3. Reload trang.</x:v>
      </x:c>
      <x:c r="D75" s="44" t="str">
        <x:v>1. Header không còn hiển thị trạng thái khách giống trước đăng nhập hoặc hiển thị thông tin tài khoản theo thiết kế.
2. Sau khi reload, phiên đăng nhập vẫn được duy trì nếu hệ thống thiết kế như vậy.
3. Không tự đăng xuất bất thường.</x:v>
      </x:c>
      <x:c r="E75" s="44" t="str">
        <x:v>Đã đăng nhập thành công bằng tài khoản test.</x:v>
      </x:c>
      <x:c r="F75" s="44" t="str">
        <x:v>Account: {{TEST_ACCOUNT}}</x:v>
      </x:c>
      <x:c r="G75" s="57" t="str">
        <x:v>Untested</x:v>
      </x:c>
    </x:row>
    <x:row r="76" ht="92" customHeight="1">
      <x:c r="A76" s="44" t="str">
        <x:v>TKI_LOGIN_019</x:v>
      </x:c>
      <x:c r="B76" s="44" t="str">
        <x:v>Kiểm tra mở giỏ hàng sau khi đăng nhập thành công.</x:v>
      </x:c>
      <x:c r="C76" s="44" t="str">
        <x:v>1. Đăng nhập bằng tài khoản test.
2. Click icon giỏ hàng trên header.
3. Quan sát trang giỏ hàng.</x:v>
      </x:c>
      <x:c r="D76" s="44" t="str">
        <x:v>1. Hệ thống mở trang giỏ hàng.
2. Không yêu cầu đăng nhập lại.
3. Dữ liệu giỏ hàng hiển thị theo tài khoản/phiên hiện tại.</x:v>
      </x:c>
      <x:c r="E76" s="44" t="str">
        <x:v>Đã đăng nhập bằng tài khoản test.</x:v>
      </x:c>
      <x:c r="F76" s="44" t="str">
        <x:v>Account: {{TEST_ACCOUNT}}</x:v>
      </x:c>
      <x:c r="G76" s="57" t="str">
        <x:v>Untested</x:v>
      </x:c>
    </x:row>
    <x:row r="77" ht="92" customHeight="1">
      <x:c r="A77" s="44" t="str">
        <x:v>TKI_LOGIN_020</x:v>
      </x:c>
      <x:c r="B77" s="44" t="str">
        <x:v>Kiểm tra luồng mua hàng sau khi đăng nhập.</x:v>
      </x:c>
      <x:c r="C77" s="44" t="str">
        <x:v>1. Đăng nhập bằng tài khoản test.
2. Thêm sản phẩm bất kỳ còn hàng vào giỏ.
3. Mở giỏ hàng và click Mua Hàng.</x:v>
      </x:c>
      <x:c r="D77" s="44" t="str">
        <x:v>1. Hệ thống không mở lại popup đăng nhập.
2. Hệ thống chuyển sang bước thanh toán/đặt hàng tiếp theo theo thiết kế.
3. Thông tin sản phẩm trong giỏ được giữ đúng.</x:v>
      </x:c>
      <x:c r="E77" s="44" t="str">
        <x:v>Đã đăng nhập. Giỏ hàng có sản phẩm hợp lệ.</x:v>
      </x:c>
      <x:c r="F77" s="44" t="str">
        <x:v>Account: {{TEST_ACCOUNT}}; Product: random in-stock product</x:v>
      </x:c>
      <x:c r="G77" s="57" t="str">
        <x:v>Untested</x:v>
      </x:c>
    </x:row>
    <x:row r="78" ht="92" customHeight="1">
      <x:c r="A78" s="44" t="str">
        <x:v>TKI_LOGIN_021</x:v>
      </x:c>
      <x:c r="B78" s="44" t="str">
        <x:v>Kiểm tra bảo toàn giỏ hàng sau khi đăng nhập từ popup yêu cầu đăng nhập.</x:v>
      </x:c>
      <x:c r="C78" s="44" t="str">
        <x:v>1. Khi chưa đăng nhập, thêm sản phẩm vào giỏ.
2. Click Mua Hàng để mở popup đăng nhập.
3. Đăng nhập bằng tài khoản test.
4. Quay lại giỏ hàng hoặc tiếp tục luồng mua hàng.</x:v>
      </x:c>
      <x:c r="D78" s="44" t="str">
        <x:v>1. Sản phẩm đã thêm trước khi đăng nhập không bị mất.
2. Sau khi đăng nhập, giỏ hàng vẫn chứa sản phẩm hợp lệ.
3. Người dùng có thể tiếp tục mua hàng.</x:v>
      </x:c>
      <x:c r="E78" s="44" t="str">
        <x:v>Người dùng chưa đăng nhập ban đầu. Có tài khoản test hợp lệ.</x:v>
      </x:c>
      <x:c r="F78" s="44" t="str">
        <x:v>Product: random in-stock product; Account: {{TEST_ACCOUNT}}</x:v>
      </x:c>
      <x:c r="G78" s="57" t="str">
        <x:v>Untested</x:v>
      </x:c>
    </x:row>
    <x:row r="79" ht="92" customHeight="1">
      <x:c r="A79" s="44" t="str">
        <x:v>TKI_LOGIN_022</x:v>
      </x:c>
      <x:c r="B79" s="44" t="str">
        <x:v>Kiểm tra đăng nhập thất bại không làm mất trạng thái trang trước đó.</x:v>
      </x:c>
      <x:c r="C79" s="44" t="str">
        <x:v>1. Mở popup đăng nhập từ trang chi tiết sản phẩm hoặc giỏ hàng.
2. Nhập thông tin xác thực sai.
3. Đóng popup hoặc nhập lại sau khi lỗi hiển thị.</x:v>
      </x:c>
      <x:c r="D79" s="44" t="str">
        <x:v>1. Hệ thống hiển thị lỗi xác thực.
2. Trang gốc vẫn giữ trạng thái trước khi mở popup.
3. Sản phẩm/giỏ hàng không bị mất do đăng nhập thất bại.</x:v>
      </x:c>
      <x:c r="E79" s="44" t="str">
        <x:v>Đang ở trang sản phẩm hoặc giỏ hàng. Có thể nhập sai thông tin xác thực.</x:v>
      </x:c>
      <x:c r="F79" s="44" t="str">
        <x:v>Secret: invalid</x:v>
      </x:c>
      <x:c r="G79" s="57" t="str">
        <x:v>Untested</x:v>
      </x:c>
    </x:row>
  </x:sheetData>
  <x:mergeCells>
    <x:mergeCell ref="A1:G1"/>
    <x:mergeCell ref="A9:G9"/>
    <x:mergeCell ref="A28:G28"/>
    <x:mergeCell ref="A57:G57"/>
  </x:mergeCells>
  <x:conditionalFormatting sqref="G9:G79">
    <x:cfRule type="cellIs" dxfId="0" priority="1">
      <x:formula>"Pass"</x:formula>
    </x:cfRule>
    <x:cfRule type="cellIs" dxfId="1" priority="2">
      <x:formula>"Fail"</x:formula>
    </x:cfRule>
    <x:cfRule type="cellIs" dxfId="2" priority="3">
      <x:formula>"Untested"</x:formula>
    </x:cfRule>
  </x:conditionalFormatting>
  <x:dataValidations count="1">
    <x:dataValidation type="list" sqref="G9:G79">
      <x:formula1>"Pass,Fail,Untested,N/A"</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2" hidden="0" customWidth="1"/>
    <x:col min="3" max="3" width="70" hidden="0" customWidth="1"/>
    <x:col min="4" max="4" width="22" hidden="0" customWidth="1"/>
  </x:cols>
  <x:sheetData>
    <x:row r="1" ht="32" customHeight="1">
      <x:c r="A1" s="34" t="str">
        <x:v>TEST DATA / AUTOMATION NOTES</x:v>
      </x:c>
      <x:c r="B1" s="34"/>
      <x:c r="C1" s="34"/>
      <x:c r="D1" s="34"/>
    </x:row>
    <x:row r="3" ht="24" customHeight="1">
      <x:c r="A3" s="63" t="str">
        <x:v>Key</x:v>
      </x:c>
      <x:c r="B3" s="63" t="str">
        <x:v>Value/Placeholder</x:v>
      </x:c>
      <x:c r="C3" s="63" t="str">
        <x:v>Description</x:v>
      </x:c>
      <x:c r="D3" s="63" t="str">
        <x:v>Required for Cypress</x:v>
      </x:c>
    </x:row>
    <x:row r="4">
      <x:c r="A4" s="44" t="str">
        <x:v>BASE_URL</x:v>
      </x:c>
      <x:c r="B4" s="44" t="str">
        <x:v>https://tiki.vn</x:v>
      </x:c>
      <x:c r="C4" s="44" t="str">
        <x:v>URL trang chủ Tiki</x:v>
      </x:c>
      <x:c r="D4" s="44" t="str">
        <x:v>Yes</x:v>
      </x:c>
    </x:row>
    <x:row r="5">
      <x:c r="A5" s="44" t="str">
        <x:v>BROWSER</x:v>
      </x:c>
      <x:c r="B5" s="44" t="str">
        <x:v>Chrome</x:v>
      </x:c>
      <x:c r="C5" s="44" t="str">
        <x:v>Trình duyệt mục tiêu theo format file mẫu</x:v>
      </x:c>
      <x:c r="D5" s="44" t="str">
        <x:v>Yes</x:v>
      </x:c>
    </x:row>
    <x:row r="6">
      <x:c r="A6" s="44" t="str">
        <x:v>FRAMEWORK</x:v>
      </x:c>
      <x:c r="B6" s="44" t="str">
        <x:v>Cypress</x:v>
      </x:c>
      <x:c r="C6" s="44" t="str">
        <x:v>Framework automation dự kiến</x:v>
      </x:c>
      <x:c r="D6" s="44" t="str">
        <x:v>Yes</x:v>
      </x:c>
    </x:row>
    <x:row r="7">
      <x:c r="A7" s="44" t="str">
        <x:v>SEARCH_KEYWORD_1</x:v>
      </x:c>
      <x:c r="B7" s="44" t="str">
        <x:v>sách</x:v>
      </x:c>
      <x:c r="C7" s="44" t="str">
        <x:v>Từ khóa tìm kiếm hợp lệ</x:v>
      </x:c>
      <x:c r="D7" s="44" t="str">
        <x:v>Yes</x:v>
      </x:c>
    </x:row>
    <x:row r="8">
      <x:c r="A8" s="44" t="str">
        <x:v>SEARCH_KEYWORD_2</x:v>
      </x:c>
      <x:c r="B8" s="44" t="str">
        <x:v>sách thiếu nhi</x:v>
      </x:c>
      <x:c r="C8" s="44" t="str">
        <x:v>Từ khóa tiếng Việt có dấu</x:v>
      </x:c>
      <x:c r="D8" s="44" t="str">
        <x:v>Yes</x:v>
      </x:c>
    </x:row>
    <x:row r="9">
      <x:c r="A9" s="44" t="str">
        <x:v>SEARCH_KEYWORD_3</x:v>
      </x:c>
      <x:c r="B9" s="44" t="str">
        <x:v>sach thieu nhi</x:v>
      </x:c>
      <x:c r="C9" s="44" t="str">
        <x:v>Từ khóa tiếng Việt không dấu</x:v>
      </x:c>
      <x:c r="D9" s="44" t="str">
        <x:v>Yes</x:v>
      </x:c>
    </x:row>
    <x:row r="10">
      <x:c r="A10" s="44" t="str">
        <x:v>SEARCH_KEYWORD_NO_RESULT</x:v>
      </x:c>
      <x:c r="B10" s="44" t="str">
        <x:v>zzzzzzzzzzz_tiki_test_no_result</x:v>
      </x:c>
      <x:c r="C10" s="44" t="str">
        <x:v>Từ khóa dùng cho case không có kết quả</x:v>
      </x:c>
      <x:c r="D10" s="44" t="str">
        <x:v>Optional</x:v>
      </x:c>
    </x:row>
    <x:row r="11">
      <x:c r="A11" s="44" t="str">
        <x:v>PRODUCT_SELECTION_RULE</x:v>
      </x:c>
      <x:c r="B11" s="44" t="str">
        <x:v>Random/first visible in-stock product</x:v>
      </x:c>
      <x:c r="C11" s="44" t="str">
        <x:v>Không cố định sản phẩm; khi viết Cypress nên lấy sản phẩm bất kỳ còn hàng từ danh sách</x:v>
      </x:c>
      <x:c r="D11" s="44" t="str">
        <x:v>Yes</x:v>
      </x:c>
    </x:row>
    <x:row r="12">
      <x:c r="A12" s="44" t="str">
        <x:v>ASSERT_PRODUCT_NAME</x:v>
      </x:c>
      <x:c r="B12" s="44" t="str">
        <x:v>capture dynamically</x:v>
      </x:c>
      <x:c r="C12" s="44" t="str">
        <x:v>Tên sản phẩm nên được lấy động từ UI rồi so sánh ở trang chi tiết/giỏ hàng</x:v>
      </x:c>
      <x:c r="D12" s="44" t="str">
        <x:v>Yes</x:v>
      </x:c>
    </x:row>
    <x:row r="13">
      <x:c r="A13" s="44" t="str">
        <x:v>ASSERT_PRODUCT_PRICE</x:v>
      </x:c>
      <x:c r="B13" s="44" t="str">
        <x:v>capture dynamically</x:v>
      </x:c>
      <x:c r="C13" s="44" t="str">
        <x:v>Giá nên kiểm tra theo định dạng hoặc capture động, không hard-code</x:v>
      </x:c>
      <x:c r="D13" s="44" t="str">
        <x:v>Yes</x:v>
      </x:c>
    </x:row>
    <x:row r="14">
      <x:c r="A14" s="44" t="str">
        <x:v>TEST_PHONE</x:v>
      </x:c>
      <x:c r="B14" s="44" t="str">
        <x:v>{{TEST_PHONE}}</x:v>
      </x:c>
      <x:c r="C14" s="44" t="str">
        <x:v>Số điện thoại tài khoản test</x:v>
      </x:c>
      <x:c r="D14" s="44" t="str">
        <x:v>Yes for login</x:v>
      </x:c>
    </x:row>
    <x:row r="15">
      <x:c r="A15" s="44" t="str">
        <x:v>TEST_EMAIL</x:v>
      </x:c>
      <x:c r="B15" s="44" t="str">
        <x:v>{{TEST_EMAIL}}</x:v>
      </x:c>
      <x:c r="C15" s="44" t="str">
        <x:v>Email tài khoản test</x:v>
      </x:c>
      <x:c r="D15" s="44" t="str">
        <x:v>Yes for email login</x:v>
      </x:c>
    </x:row>
    <x:row r="16">
      <x:c r="A16" s="44" t="str">
        <x:v>TEST_SECRET</x:v>
      </x:c>
      <x:c r="B16" s="44" t="str">
        <x:v>{{TEST_SECRET}}</x:v>
      </x:c>
      <x:c r="C16" s="44" t="str">
        <x:v>OTP/mật khẩu/thông tin xác thực trong môi trường test</x:v>
      </x:c>
      <x:c r="D16" s="44" t="str">
        <x:v>Yes for full login</x:v>
      </x:c>
    </x:row>
    <x:row r="17">
      <x:c r="A17" s="44" t="str">
        <x:v>INVALID_PHONE</x:v>
      </x:c>
      <x:c r="B17" s="44" t="str">
        <x:v>12345</x:v>
      </x:c>
      <x:c r="C17" s="44" t="str">
        <x:v>Dữ liệu phone sai định dạng</x:v>
      </x:c>
      <x:c r="D17" s="44" t="str">
        <x:v>Yes</x:v>
      </x:c>
    </x:row>
    <x:row r="18">
      <x:c r="A18" s="44" t="str">
        <x:v>INVALID_EMAIL</x:v>
      </x:c>
      <x:c r="B18" s="44" t="str">
        <x:v>invalid-email</x:v>
      </x:c>
      <x:c r="C18" s="44" t="str">
        <x:v>Dữ liệu email sai định dạng</x:v>
      </x:c>
      <x:c r="D18" s="44" t="str">
        <x:v>Yes</x:v>
      </x:c>
    </x:row>
    <x:row r="19">
      <x:c r="A19" s="44" t="str">
        <x:v>QUANTITY_DEFAULT</x:v>
      </x:c>
      <x:c r="B19" s="44" t="str">
        <x:v>1</x:v>
      </x:c>
      <x:c r="C19" s="44" t="str">
        <x:v>Số lượng mặc định mong muốn</x:v>
      </x:c>
      <x:c r="D19" s="44" t="str">
        <x:v>Yes</x:v>
      </x:c>
    </x:row>
    <x:row r="20">
      <x:c r="A20" s="44" t="str">
        <x:v>QUANTITY_VALID</x:v>
      </x:c>
      <x:c r="B20" s="44" t="str">
        <x:v>2</x:v>
      </x:c>
      <x:c r="C20" s="44" t="str">
        <x:v>Số lượng hợp lệ khi tăng/nhập</x:v>
      </x:c>
      <x:c r="D20" s="44" t="str">
        <x:v>Yes</x:v>
      </x:c>
    </x:row>
    <x:row r="21">
      <x:c r="A21" s="44" t="str">
        <x:v>QUANTITY_INVALID</x:v>
      </x:c>
      <x:c r="B21" s="44" t="str">
        <x:v>0, -1, abc</x:v>
      </x:c>
      <x:c r="C21" s="44" t="str">
        <x:v>Dữ liệu số lượng không hợp lệ</x:v>
      </x:c>
      <x:c r="D21" s="44" t="str">
        <x:v>Optional</x:v>
      </x:c>
    </x:row>
  </x:sheetData>
  <x:mergeCells>
    <x:mergeCell ref="A1:D1"/>
  </x:mergeCells>
  <x:pageMargins left="0.7" right="0.7" top="0.75" bottom="0.75" header="0.3" footer="0.3"/>
  <x:tableParts count="1">
    <x:tablePart xmlns:r="http://schemas.openxmlformats.org/officeDocument/2006/relationships" r:id="R1703064ad6ec409a"/>
  </x:tableParts>
</x:worksheet>
</file>